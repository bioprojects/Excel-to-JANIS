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id\Desktop\JANIS\ExceltoJANIS\"/>
    </mc:Choice>
  </mc:AlternateContent>
  <xr:revisionPtr revIDLastSave="0" documentId="13_ncr:1_{405E9F31-54AB-4367-916E-37F5F699051A}" xr6:coauthVersionLast="45" xr6:coauthVersionMax="45" xr10:uidLastSave="{00000000-0000-0000-0000-000000000000}"/>
  <bookViews>
    <workbookView xWindow="840" yWindow="705" windowWidth="28020" windowHeight="14040" xr2:uid="{00000000-000D-0000-FFFF-FFFF00000000}"/>
  </bookViews>
  <sheets>
    <sheet name="Menu" sheetId="14" r:id="rId1"/>
    <sheet name="Format" sheetId="12" r:id="rId2"/>
    <sheet name="Hospital" sheetId="16" r:id="rId3"/>
    <sheet name="puldata_Format" sheetId="5" state="hidden" r:id="rId4"/>
    <sheet name="puldata_Bacterium" sheetId="2" state="hidden" r:id="rId5"/>
    <sheet name="Bacterium" sheetId="1" r:id="rId6"/>
    <sheet name="Antimicrobial" sheetId="3" r:id="rId7"/>
    <sheet name="puldata_Antimicrobial" sheetId="4" state="hidden" r:id="rId8"/>
    <sheet name="Department" sheetId="6" r:id="rId9"/>
    <sheet name="puldata_Department" sheetId="7" state="hidden" r:id="rId10"/>
    <sheet name="Specimen" sheetId="8" r:id="rId11"/>
    <sheet name="puldata_Speciem" sheetId="9" state="hidden" r:id="rId12"/>
    <sheet name="Susceptibility" sheetId="13" state="hidden" r:id="rId13"/>
    <sheet name="Setting" sheetId="15" state="hidden" r:id="rId14"/>
  </sheets>
  <functionGroups builtInGroupCount="19"/>
  <externalReferences>
    <externalReference r:id="rId15"/>
  </externalReferences>
  <definedNames>
    <definedName name="Department">puldata_Department!$D$2:$D$68</definedName>
    <definedName name="_xlnm.Print_Area" localSheetId="6">Antimicrobial!$A$1:$B$2</definedName>
    <definedName name="_xlnm.Print_Area" localSheetId="1">Format!$A$1:$G$32</definedName>
    <definedName name="_xlnm.Print_Area" localSheetId="12">Susceptibility!$A$1:$F$32</definedName>
    <definedName name="specimen">puldata_Speciem!$D$2:$D$51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4" l="1"/>
  <c r="A7" i="12" l="1"/>
  <c r="A8" i="12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4" l="1"/>
  <c r="D2" i="9" l="1"/>
  <c r="D2" i="7"/>
  <c r="C2" i="2" l="1"/>
</calcChain>
</file>

<file path=xl/sharedStrings.xml><?xml version="1.0" encoding="utf-8"?>
<sst xmlns="http://schemas.openxmlformats.org/spreadsheetml/2006/main" count="1612" uniqueCount="1466">
  <si>
    <t>ID</t>
    <phoneticPr fontId="1"/>
  </si>
  <si>
    <t>Item</t>
    <phoneticPr fontId="1"/>
  </si>
  <si>
    <t>リスト表示</t>
    <rPh sb="3" eb="5">
      <t>ヒョウジ</t>
    </rPh>
    <phoneticPr fontId="1"/>
  </si>
  <si>
    <t>Bacterial Name</t>
    <phoneticPr fontId="2"/>
  </si>
  <si>
    <t>Mapping</t>
    <phoneticPr fontId="2"/>
  </si>
  <si>
    <t>Code</t>
    <phoneticPr fontId="4"/>
  </si>
  <si>
    <t>Drug Name</t>
    <phoneticPr fontId="4"/>
  </si>
  <si>
    <t>Other</t>
    <phoneticPr fontId="4"/>
  </si>
  <si>
    <t>caregory</t>
    <phoneticPr fontId="1"/>
  </si>
  <si>
    <t>リスト表示</t>
    <phoneticPr fontId="1"/>
  </si>
  <si>
    <t>Department Name</t>
    <phoneticPr fontId="4"/>
  </si>
  <si>
    <t>Internal Medicine</t>
  </si>
  <si>
    <t>Cardiology</t>
  </si>
  <si>
    <t>Neurology</t>
  </si>
  <si>
    <t>Respiratory Medicine</t>
  </si>
  <si>
    <t>Gastroenterology and hepatology</t>
  </si>
  <si>
    <t>Gastroenterology</t>
  </si>
  <si>
    <t>Endocrinology and Metabolism</t>
  </si>
  <si>
    <t>Nephrology</t>
  </si>
  <si>
    <t>Diabetes</t>
  </si>
  <si>
    <t>Allergy and Connective Tissue Disorders</t>
  </si>
  <si>
    <t>Connective Tissue Disorders</t>
  </si>
  <si>
    <t>Allergology</t>
  </si>
  <si>
    <t>Rheumatology</t>
  </si>
  <si>
    <t>Hematology</t>
  </si>
  <si>
    <t>Infectious Diseases</t>
  </si>
  <si>
    <t>Geriatrics</t>
  </si>
  <si>
    <t>Psychosomatic medicine</t>
  </si>
  <si>
    <t>Surgery</t>
  </si>
  <si>
    <t>Gastrointestinal Surgery</t>
  </si>
  <si>
    <t>Proctology</t>
  </si>
  <si>
    <t>Hepatobiliary Pancreatic Surgery</t>
  </si>
  <si>
    <t>Cardiovascular Surgery</t>
  </si>
  <si>
    <t>Endocrine Surgery</t>
  </si>
  <si>
    <t>Thoracic Surgery</t>
  </si>
  <si>
    <t>Pediatric Surgery</t>
  </si>
  <si>
    <t>Pediatric Cardio Surgery</t>
  </si>
  <si>
    <t>Pediatric Gastrointestinal Surgery</t>
  </si>
  <si>
    <t>Obstetrics and Gynecology</t>
  </si>
  <si>
    <t>Obstetrics</t>
  </si>
  <si>
    <t>Gynecology</t>
  </si>
  <si>
    <t>Pediatrics</t>
  </si>
  <si>
    <t>Neonatology</t>
  </si>
  <si>
    <t>Other</t>
  </si>
  <si>
    <t>Orthopaedic Surgery</t>
  </si>
  <si>
    <t>Cosmetic Surgery</t>
  </si>
  <si>
    <t>Ophthalmology</t>
  </si>
  <si>
    <t>Otorhinolaryngology</t>
  </si>
  <si>
    <t>Bronchoesophagology</t>
  </si>
  <si>
    <t>Dermatology</t>
  </si>
  <si>
    <t>Urology</t>
  </si>
  <si>
    <t>Dermatology and Urology</t>
  </si>
  <si>
    <t>Venereology</t>
  </si>
  <si>
    <t>Neuropsychiatry</t>
  </si>
  <si>
    <t>Psychiatry</t>
  </si>
  <si>
    <t>Radiology</t>
  </si>
  <si>
    <t>Neurosurgery</t>
  </si>
  <si>
    <t>Plastic Surgery</t>
  </si>
  <si>
    <t>Oral and Maxillofacial Surgery</t>
  </si>
  <si>
    <t>Dentistry</t>
  </si>
  <si>
    <t>Dental Surgery</t>
  </si>
  <si>
    <t>Pediatric Dentistry</t>
  </si>
  <si>
    <t>Orthodontics</t>
  </si>
  <si>
    <t>General Medicine</t>
  </si>
  <si>
    <t>Emergency</t>
  </si>
  <si>
    <t>Emergency and ICU</t>
  </si>
  <si>
    <t>Intensive Care Unit (ICU)</t>
  </si>
  <si>
    <t>Coronary Care Unit (CCU)</t>
  </si>
  <si>
    <t>Neonatal Intensive Care Unit (NICU)</t>
  </si>
  <si>
    <t>Perinatal center</t>
  </si>
  <si>
    <t>Endoscopy</t>
  </si>
  <si>
    <t>Hemodialysis</t>
  </si>
  <si>
    <t>Transplantation</t>
  </si>
  <si>
    <t>Physiotherapy and Rehabilitation</t>
  </si>
  <si>
    <t>Physiotherapy</t>
  </si>
  <si>
    <t>Rehabilitation</t>
  </si>
  <si>
    <t>Anesthesiology</t>
  </si>
  <si>
    <t>Others</t>
  </si>
  <si>
    <t>Department Name</t>
    <phoneticPr fontId="1"/>
  </si>
  <si>
    <t>Name</t>
    <phoneticPr fontId="4"/>
  </si>
  <si>
    <t>Mapping</t>
    <phoneticPr fontId="4"/>
  </si>
  <si>
    <t>Oral/Endotracheal/Respiratory</t>
    <phoneticPr fontId="4"/>
  </si>
  <si>
    <t>Sputum</t>
  </si>
  <si>
    <t>Endotracheal aspirate</t>
  </si>
  <si>
    <t>Bronchoalveolar lavage</t>
  </si>
  <si>
    <t>Throat</t>
  </si>
  <si>
    <t>Nasal</t>
  </si>
  <si>
    <t>Oral</t>
  </si>
  <si>
    <t>Lung biopsy</t>
  </si>
  <si>
    <t>Other （Respiratory)</t>
  </si>
  <si>
    <t>Urinary/Genital</t>
    <phoneticPr fontId="4"/>
  </si>
  <si>
    <t>Urine</t>
  </si>
  <si>
    <t>Urethral discharge</t>
  </si>
  <si>
    <t>Vaginal discharge</t>
  </si>
  <si>
    <t>Catheterized urine</t>
  </si>
  <si>
    <t>Other (Urinary/Genital)</t>
  </si>
  <si>
    <t xml:space="preserve">Digestive </t>
    <phoneticPr fontId="4"/>
  </si>
  <si>
    <t>Feces</t>
  </si>
  <si>
    <t>Gastric/Duodenal aspirate</t>
  </si>
  <si>
    <t>Bile</t>
  </si>
  <si>
    <t>Gastrointestinal biopsy</t>
  </si>
  <si>
    <t>Other (Gastrointestinal)</t>
  </si>
  <si>
    <t>Blood/Fluid</t>
    <phoneticPr fontId="4"/>
  </si>
  <si>
    <t>Venous blood</t>
  </si>
  <si>
    <t>Arterial blood</t>
  </si>
  <si>
    <t>Bone marrow aspirate</t>
  </si>
  <si>
    <t>Other (Puncture fluid)</t>
  </si>
  <si>
    <t>Ear discharge</t>
  </si>
  <si>
    <t>Eye discharge</t>
  </si>
  <si>
    <t>Skin</t>
  </si>
  <si>
    <t>Decubitus</t>
  </si>
  <si>
    <t>Amniotic fluid</t>
  </si>
  <si>
    <t>Open pus</t>
  </si>
  <si>
    <t>Trapped pus</t>
  </si>
  <si>
    <t>Wound</t>
  </si>
  <si>
    <t xml:space="preserve">Tip of central venous catheter </t>
  </si>
  <si>
    <t>Catheter insertion site</t>
  </si>
  <si>
    <t>Other catheter specimens</t>
  </si>
  <si>
    <t>Chest tube drainage</t>
  </si>
  <si>
    <t>Chest tube tip</t>
  </si>
  <si>
    <t>Abdominal tube drainage</t>
  </si>
  <si>
    <t>Abdominal tube tip</t>
  </si>
  <si>
    <t>Drain insertion site</t>
  </si>
  <si>
    <t>Other drain specimens</t>
  </si>
  <si>
    <t>Lymph node biopsy</t>
  </si>
  <si>
    <t>Other biopsy/operation materials</t>
  </si>
  <si>
    <t>Other source</t>
  </si>
  <si>
    <t>Category</t>
    <phoneticPr fontId="1"/>
  </si>
  <si>
    <t>№</t>
    <phoneticPr fontId="2"/>
  </si>
  <si>
    <t>Item</t>
    <phoneticPr fontId="2"/>
  </si>
  <si>
    <t>Specification</t>
    <phoneticPr fontId="2"/>
  </si>
  <si>
    <t>6: international surveillance</t>
  </si>
  <si>
    <t>Assigned institutional code</t>
  </si>
  <si>
    <t>Encrypted unique ID using 30 single-byte characters</t>
  </si>
  <si>
    <t>M: Male, F: Female</t>
  </si>
  <si>
    <t>YYYY: year, MM: month, DD: day</t>
  </si>
  <si>
    <t>1: Outpatient, 2: Inpatient, 3: Unknown</t>
  </si>
  <si>
    <t xml:space="preserve">Refer to "Department Code" </t>
  </si>
  <si>
    <t>Free-text format  (alphanumeric only)</t>
  </si>
  <si>
    <t>Refer to "Specimen Source Code"</t>
  </si>
  <si>
    <t>1: negative, space: positive</t>
  </si>
  <si>
    <t>Refer to "Isolated Bacterial Code"</t>
  </si>
  <si>
    <t>Unique ID using 30 single-byte characters</t>
  </si>
  <si>
    <t>Refer to "Country Code"</t>
  </si>
  <si>
    <t>Refer to "Handbook for the JANIS Clinical Laboratory Division (JCLD) Data Submission"</t>
  </si>
  <si>
    <t>Code　</t>
    <phoneticPr fontId="4"/>
  </si>
  <si>
    <t>Method</t>
    <phoneticPr fontId="4"/>
  </si>
  <si>
    <t>Product Name</t>
    <phoneticPr fontId="4"/>
  </si>
  <si>
    <t>Product Company</t>
    <phoneticPr fontId="4"/>
  </si>
  <si>
    <t>Notes</t>
    <phoneticPr fontId="4"/>
  </si>
  <si>
    <t>IA40i</t>
  </si>
  <si>
    <t>InputFileName</t>
    <phoneticPr fontId="4"/>
  </si>
  <si>
    <t>Broth microdilution method</t>
  </si>
  <si>
    <t>Automated system</t>
  </si>
  <si>
    <t>MicroScan WalkAway</t>
  </si>
  <si>
    <t>Siemens Healthcare Diagnostics</t>
  </si>
  <si>
    <t>Autoscan 4</t>
  </si>
  <si>
    <t>IS60 (frozen plate)</t>
  </si>
  <si>
    <t>Eiken Chemical</t>
  </si>
  <si>
    <t>IS60 (dry plate)</t>
  </si>
  <si>
    <t>ATB Expression</t>
  </si>
  <si>
    <t>bioMérieux</t>
  </si>
  <si>
    <t>BD Phoenix</t>
  </si>
  <si>
    <t>BD Diagnostics</t>
  </si>
  <si>
    <t>VITEK 2</t>
  </si>
  <si>
    <t>RAISUS</t>
  </si>
  <si>
    <t>Nissui Pharmaceutical</t>
  </si>
  <si>
    <t>60a (frozen plate)</t>
  </si>
  <si>
    <t>60a (dry plate)</t>
  </si>
  <si>
    <t>IA20MIC (frozen plate)</t>
  </si>
  <si>
    <t>Eiken Chemical / Koden Industry</t>
  </si>
  <si>
    <t>IA20MIC (dry plate)</t>
  </si>
  <si>
    <t>Manual</t>
  </si>
  <si>
    <t>Eiken dry plate</t>
  </si>
  <si>
    <t>Eiken frozen plate</t>
  </si>
  <si>
    <t>IA01MIC (dry plate)</t>
  </si>
  <si>
    <t>IA20MIC mkⅡ（frozen plate）</t>
  </si>
  <si>
    <t>IA20MIC mkⅡ（dry plate）</t>
  </si>
  <si>
    <t>IA01MIC mkⅡ（frozen plate）</t>
  </si>
  <si>
    <t>IA01MIC mkⅡ（dry plate）</t>
  </si>
  <si>
    <t>Gradient diffusion method</t>
  </si>
  <si>
    <t>Etest</t>
  </si>
  <si>
    <t>MIC absorbance determination system (frozen plate)</t>
  </si>
  <si>
    <t>MR-5000 etc.</t>
  </si>
  <si>
    <t>MIC absorbance determination system (dry plate)</t>
  </si>
  <si>
    <t>Disk diffusion method</t>
  </si>
  <si>
    <t>Sensi-Disc</t>
  </si>
  <si>
    <t>KB Disk</t>
  </si>
  <si>
    <t>RAISUS ANY</t>
  </si>
  <si>
    <t>Dry plate Eiken 192 plate</t>
  </si>
  <si>
    <t>M: Mandatory</t>
    <phoneticPr fontId="2"/>
  </si>
  <si>
    <t>Mapping</t>
    <phoneticPr fontId="1"/>
  </si>
  <si>
    <t>M</t>
  </si>
  <si>
    <t>-</t>
  </si>
  <si>
    <t>マッピング情報展開済フラグ</t>
    <rPh sb="5" eb="7">
      <t>ジョウホウ</t>
    </rPh>
    <rPh sb="7" eb="9">
      <t>テンカイ</t>
    </rPh>
    <rPh sb="9" eb="10">
      <t>ズ</t>
    </rPh>
    <phoneticPr fontId="1"/>
  </si>
  <si>
    <t>Antimicrobial Mapping</t>
    <phoneticPr fontId="2"/>
  </si>
  <si>
    <t>Broth microdilution method</t>
    <phoneticPr fontId="1"/>
  </si>
  <si>
    <t>IA01MIC (frozen plate)</t>
    <phoneticPr fontId="1"/>
  </si>
  <si>
    <t>リスト表示</t>
    <rPh sb="3" eb="5">
      <t>ヒョウジ</t>
    </rPh>
    <phoneticPr fontId="1"/>
  </si>
  <si>
    <t>MIC Value</t>
    <phoneticPr fontId="1"/>
  </si>
  <si>
    <t>Zone Diameter</t>
    <phoneticPr fontId="1"/>
  </si>
  <si>
    <t>-</t>
    <phoneticPr fontId="1"/>
  </si>
  <si>
    <t>Disk diffusion method</t>
    <phoneticPr fontId="1"/>
  </si>
  <si>
    <t>Manual</t>
    <phoneticPr fontId="1"/>
  </si>
  <si>
    <t>All the others</t>
    <phoneticPr fontId="1"/>
  </si>
  <si>
    <t>Susceptibility
Mapping</t>
    <phoneticPr fontId="1"/>
  </si>
  <si>
    <t>MIC Value/
Zone Diameter</t>
    <phoneticPr fontId="1"/>
  </si>
  <si>
    <t>Surveillance Category</t>
  </si>
  <si>
    <t>Facility Code</t>
  </si>
  <si>
    <t>Patient ID</t>
  </si>
  <si>
    <t>Sex</t>
  </si>
  <si>
    <t>Date of Birth</t>
  </si>
  <si>
    <t xml:space="preserve">Department </t>
  </si>
  <si>
    <t>Ward</t>
  </si>
  <si>
    <t>Specimen Source</t>
  </si>
  <si>
    <t>Specimen Reception Date</t>
  </si>
  <si>
    <t>Specimen Collection Date</t>
  </si>
  <si>
    <t>Bacterial Culture Result</t>
  </si>
  <si>
    <t>Isolated Bacterium</t>
  </si>
  <si>
    <t>Specimen ID</t>
  </si>
  <si>
    <t>Country Code</t>
  </si>
  <si>
    <t>Version ID</t>
  </si>
  <si>
    <t>Hospital Status</t>
    <phoneticPr fontId="2"/>
  </si>
  <si>
    <t>Hospital Status</t>
  </si>
  <si>
    <t>6</t>
  </si>
  <si>
    <t>W701</t>
  </si>
  <si>
    <t>Bronchoesophagology:505</t>
  </si>
  <si>
    <t>Abdominal tube drainage:527</t>
  </si>
  <si>
    <t>Abdominal tube tip:528</t>
  </si>
  <si>
    <t>Amniotic fluid:505</t>
  </si>
  <si>
    <t>Arterial blood:402</t>
  </si>
  <si>
    <t>Ascites:405</t>
  </si>
  <si>
    <t>Bile:303</t>
  </si>
  <si>
    <t>Bone marrow aspirate:407</t>
  </si>
  <si>
    <t>Bronchoalveolar lavage:103</t>
  </si>
  <si>
    <t>Catheter insertion site:523</t>
  </si>
  <si>
    <t>Catheterized urine:206</t>
  </si>
  <si>
    <t>Cerebrospinal fluid:403</t>
  </si>
  <si>
    <t>Chest tube drainage:525</t>
  </si>
  <si>
    <t>Chest tube tip:526</t>
  </si>
  <si>
    <t>Continuous Ambulatory Peritoneal Dialysis drainage:521</t>
  </si>
  <si>
    <t>Decubitus:504</t>
  </si>
  <si>
    <t>Drain insertion site:529</t>
  </si>
  <si>
    <t>Ear discharge:501</t>
  </si>
  <si>
    <t>Endotracheal aspirate:102</t>
  </si>
  <si>
    <t>Eye discharge:502</t>
  </si>
  <si>
    <t>Feces:301</t>
  </si>
  <si>
    <t>Gastric/Duodenal aspirate:302</t>
  </si>
  <si>
    <t>Gastrointestinal biopsy:304</t>
  </si>
  <si>
    <t>Joint fluid:406</t>
  </si>
  <si>
    <t>Lung biopsy:107</t>
  </si>
  <si>
    <t>Lymph node biopsy:541</t>
  </si>
  <si>
    <t>Nasal:105</t>
  </si>
  <si>
    <t>Open pus:511</t>
  </si>
  <si>
    <t>Oral:106</t>
  </si>
  <si>
    <t>Other (Gastrointestinal):309</t>
  </si>
  <si>
    <t>Other (Puncture fluid):409</t>
  </si>
  <si>
    <t>Other （Respiratory):109</t>
  </si>
  <si>
    <t>Other (Urinary/Genital):209</t>
  </si>
  <si>
    <t>Other biopsy/operation materials:542</t>
  </si>
  <si>
    <t>Other catheter specimens:524</t>
  </si>
  <si>
    <t>Other drain specimens:530</t>
  </si>
  <si>
    <t>Other source:999</t>
  </si>
  <si>
    <t>Pericardial effusion:408</t>
  </si>
  <si>
    <t>Pleural effusion:404</t>
  </si>
  <si>
    <t>Skin:503</t>
  </si>
  <si>
    <t>Sputum:101</t>
  </si>
  <si>
    <t>Throat:104</t>
  </si>
  <si>
    <t>Tip of central venous catheter :522</t>
  </si>
  <si>
    <t>Trapped pus:512</t>
  </si>
  <si>
    <t>Urethral discharge:204</t>
  </si>
  <si>
    <t>Urine:201</t>
  </si>
  <si>
    <t>Urine collected by catheter:202</t>
  </si>
  <si>
    <t>Urine obtained from indwelling catheter:203</t>
  </si>
  <si>
    <t>Vaginal discharge:205</t>
  </si>
  <si>
    <t>Venous blood:401</t>
  </si>
  <si>
    <t>Wound:513</t>
  </si>
  <si>
    <t>Anesthesiology:534</t>
  </si>
  <si>
    <t>Cardiology:101</t>
  </si>
  <si>
    <t>Cardiovascular Surgery:204</t>
  </si>
  <si>
    <t>IPD</t>
    <phoneticPr fontId="1"/>
  </si>
  <si>
    <t>Streptococcus sp.:1100</t>
  </si>
  <si>
    <t>Allergology:111</t>
  </si>
  <si>
    <t>Allergy and Connective Tissue Disorders:109</t>
  </si>
  <si>
    <t>Connective Tissue Disorders:110</t>
  </si>
  <si>
    <t>Coronary Care Unit (CCU):525</t>
  </si>
  <si>
    <t>Cosmetic Surgery:502</t>
  </si>
  <si>
    <t>Dental Surgery:517</t>
  </si>
  <si>
    <t>Dentistry:516</t>
  </si>
  <si>
    <t>Dermatology:506</t>
  </si>
  <si>
    <t>Dermatology and Urology:508</t>
  </si>
  <si>
    <t>Diabetes:108</t>
  </si>
  <si>
    <t>Emergency:522</t>
  </si>
  <si>
    <t>Emergency and ICU:523</t>
  </si>
  <si>
    <t>Endocrine Surgery:205</t>
  </si>
  <si>
    <t>Endocrinology and Metabolism:106</t>
  </si>
  <si>
    <t>Endoscopy:528</t>
  </si>
  <si>
    <t>Gastroenterology:105</t>
  </si>
  <si>
    <t>Gastroenterology and hepatology:104</t>
  </si>
  <si>
    <t>Gastrointestinal Surgery:201</t>
  </si>
  <si>
    <t>General Medicine:520</t>
  </si>
  <si>
    <t>Geriatrics:115</t>
  </si>
  <si>
    <t>Gynecology:303</t>
  </si>
  <si>
    <t>Hematology:113</t>
  </si>
  <si>
    <t>Hemodialysis:529</t>
  </si>
  <si>
    <t>Hepatobiliary Pancreatic Surgery:203</t>
  </si>
  <si>
    <t>Infectious Diseases:114</t>
  </si>
  <si>
    <t>Intensive Care Unit (ICU):524</t>
  </si>
  <si>
    <t>Internal Medicine:100</t>
  </si>
  <si>
    <t>Neonatal Intensive Care Unit (NICU):526</t>
  </si>
  <si>
    <t>Neonatology:402</t>
  </si>
  <si>
    <t>Nephrology:107</t>
  </si>
  <si>
    <t>Neurology:102</t>
  </si>
  <si>
    <t>Neuropsychiatry:510</t>
  </si>
  <si>
    <t>Neurosurgery:513</t>
  </si>
  <si>
    <t>Obstetrics:302</t>
  </si>
  <si>
    <t>Obstetrics and Gynecology:301</t>
  </si>
  <si>
    <t>Ophthalmology:503</t>
  </si>
  <si>
    <t>Oral and Maxillofacial Surgery:515</t>
  </si>
  <si>
    <t>Orthodontics:519</t>
  </si>
  <si>
    <t>Orthopaedic Surgery:501</t>
  </si>
  <si>
    <t>Others:599</t>
  </si>
  <si>
    <t>Otorhinolaryngology:504</t>
  </si>
  <si>
    <t>Pediatric Cardio Surgery:208</t>
  </si>
  <si>
    <t>Pediatric Dentistry:518</t>
  </si>
  <si>
    <t>Pediatric Gastrointestinal Surgery:209</t>
  </si>
  <si>
    <t>Pediatric Surgery:207</t>
  </si>
  <si>
    <t>Pediatrics:401</t>
  </si>
  <si>
    <t>Perinatal center:527</t>
  </si>
  <si>
    <t>Physiotherapy:532</t>
  </si>
  <si>
    <t>Physiotherapy and Rehabilitation:531</t>
  </si>
  <si>
    <t>Plastic Surgery:514</t>
  </si>
  <si>
    <t>Proctology:202</t>
  </si>
  <si>
    <t>Psychiatry:511</t>
  </si>
  <si>
    <t>Psychosomatic medicine:116</t>
  </si>
  <si>
    <t>Radiology:512</t>
  </si>
  <si>
    <t>Rehabilitation:533</t>
  </si>
  <si>
    <t>Respiratory Medicine:103</t>
  </si>
  <si>
    <t>Rheumatology:112</t>
  </si>
  <si>
    <t>Surgery:200</t>
  </si>
  <si>
    <t>Surgery:521</t>
  </si>
  <si>
    <t>Thoracic Surgery:206</t>
  </si>
  <si>
    <t>Transplantation:530</t>
  </si>
  <si>
    <t>Urology:507</t>
  </si>
  <si>
    <t>Venereology:509</t>
  </si>
  <si>
    <t>SIR</t>
    <phoneticPr fontId="1"/>
  </si>
  <si>
    <t>Absidia corymbifera:7431</t>
  </si>
  <si>
    <t>Absidia sp.:7430</t>
  </si>
  <si>
    <t>Acanthamoeba sp.:9060</t>
  </si>
  <si>
    <t>Acholeplasma:9801</t>
  </si>
  <si>
    <t>Acidaminococcus:9802</t>
  </si>
  <si>
    <t>Acidovorax:9803</t>
  </si>
  <si>
    <t>Acinetobacter baumannii:4402</t>
  </si>
  <si>
    <t>Acinetobacter calcoaceticus:4401</t>
  </si>
  <si>
    <t>Acinetobacter lwoffii:4403</t>
  </si>
  <si>
    <t>Acinetobacter sp.:4400</t>
  </si>
  <si>
    <t>Actinobacillus actinomycetemcomitans:3401</t>
  </si>
  <si>
    <t>Actinobacillus sp.:3400</t>
  </si>
  <si>
    <t>Actinomadura:9805</t>
  </si>
  <si>
    <t>Actinomyces israelii:6301</t>
  </si>
  <si>
    <t>Actinomyces sp.:6300</t>
  </si>
  <si>
    <t>Aerococcus sp.:1600</t>
  </si>
  <si>
    <t>Aeromonas caviae:3053</t>
  </si>
  <si>
    <t>Aeromonas hydrophila subsp. hydrophila:3051</t>
  </si>
  <si>
    <t>Aeromonas sobria:3052</t>
  </si>
  <si>
    <t>Aeromonas sp.:3050</t>
  </si>
  <si>
    <t>Afipia:9806</t>
  </si>
  <si>
    <t>Alcaligenes faecalis subsp. faecalis:4101</t>
  </si>
  <si>
    <t>Alcaligenes sp.:4100</t>
  </si>
  <si>
    <t>Alcaligenes xylosoxidans subsp. xylosoxidans:4102</t>
  </si>
  <si>
    <t>Alloiococcus:9807</t>
  </si>
  <si>
    <t>Alternaria alternata:7362</t>
  </si>
  <si>
    <t>Alternaria sp.:7360</t>
  </si>
  <si>
    <t>Alternaria tenuissima:7361</t>
  </si>
  <si>
    <t>Anaerobiospirillum:9808</t>
  </si>
  <si>
    <t>Anaerococcus prevotii:5002</t>
  </si>
  <si>
    <t>Anaerococcus sp.:5030</t>
  </si>
  <si>
    <t>Anaerorhabdus:9809</t>
  </si>
  <si>
    <t>Arcanobacterium:9810</t>
  </si>
  <si>
    <t>Arthrobacter:9811</t>
  </si>
  <si>
    <t>Aspergillus flavus:7301</t>
  </si>
  <si>
    <t>Aspergillus fumigatus:7302</t>
  </si>
  <si>
    <t>Aspergillus nidulans:7303</t>
  </si>
  <si>
    <t>Aspergillus niger:7304</t>
  </si>
  <si>
    <t>Aspergillus sp.:7300</t>
  </si>
  <si>
    <t>Aspergillus terreus:7305</t>
  </si>
  <si>
    <t>Atopobium:9812</t>
  </si>
  <si>
    <t>Bacillus anthracis:6103</t>
  </si>
  <si>
    <t>Bacillus cereus:6101</t>
  </si>
  <si>
    <t>Bacillus sp.:6100</t>
  </si>
  <si>
    <t>Bacillus subtilis subsp. subtilis:6102</t>
  </si>
  <si>
    <t>Bacteroides caccae:5507</t>
  </si>
  <si>
    <t>Bacteroides distasonis:5505</t>
  </si>
  <si>
    <t>Bacteroides fragilis:5501</t>
  </si>
  <si>
    <t>Bacteroides ovatus:5502</t>
  </si>
  <si>
    <t>Bacteroides sp.:5500</t>
  </si>
  <si>
    <t>Bacteroides thetaiotaomicron:5503</t>
  </si>
  <si>
    <t>Bacteroides uniformis:5506</t>
  </si>
  <si>
    <t>Bacteroides vulgatus:5504</t>
  </si>
  <si>
    <t>Balantidium coli:9051</t>
  </si>
  <si>
    <t>Balantidium sp.:9050</t>
  </si>
  <si>
    <t>Balneatrix:9813</t>
  </si>
  <si>
    <t>Bartonella:9814</t>
  </si>
  <si>
    <t>Bergeyella:9815</t>
  </si>
  <si>
    <t>Bifidobacterium sp.:5200</t>
  </si>
  <si>
    <t>Bilophila:9816</t>
  </si>
  <si>
    <t>Blastomyces dermatitidis:7551</t>
  </si>
  <si>
    <t>Blastomyces sp.:7550</t>
  </si>
  <si>
    <t>Bordetella bronchiseptica:3273</t>
  </si>
  <si>
    <t>Bordetella parapertussis:3272</t>
  </si>
  <si>
    <t>Bordetella pertussis:3271</t>
  </si>
  <si>
    <t>Bordetella sp.:3270</t>
  </si>
  <si>
    <t>Borrelia burgdorferi:8501</t>
  </si>
  <si>
    <t>Borrelia sp.:8500</t>
  </si>
  <si>
    <t>Brachyspira:9817</t>
  </si>
  <si>
    <t>Bradyrhizobium:9818</t>
  </si>
  <si>
    <t>Brevibacterium:9819</t>
  </si>
  <si>
    <t>Brevundimonas:9820</t>
  </si>
  <si>
    <t>Brochothrix:9821</t>
  </si>
  <si>
    <t>Brucella melitensis:3556</t>
  </si>
  <si>
    <t>Brucella melitensis biovar. abortus:3551</t>
  </si>
  <si>
    <t>Brucella melitensis biovar. canis:3554</t>
  </si>
  <si>
    <t>Brucella melitensis biovar. suis:3553</t>
  </si>
  <si>
    <t>Brucella sp.:3550</t>
  </si>
  <si>
    <t>Budvicia:9822</t>
  </si>
  <si>
    <t>Burkholderia cepacia:4051</t>
  </si>
  <si>
    <t>Burkholderia mallei:4052</t>
  </si>
  <si>
    <t>Burkholderia pseudomallei:4053</t>
  </si>
  <si>
    <t>Burkholderia sp.:4050</t>
  </si>
  <si>
    <t>Buttiauxella agrestis:2671</t>
  </si>
  <si>
    <t>Buttiauxella sp.:2670</t>
  </si>
  <si>
    <t>Butyrivibrio:9823</t>
  </si>
  <si>
    <t>Calymmatobacterium:9824</t>
  </si>
  <si>
    <t>Campylobacter coli:3702</t>
  </si>
  <si>
    <t>Campylobacter fetus subsp. fetus:3703</t>
  </si>
  <si>
    <t>Campylobacter jejuni subsp. jejuni:3701</t>
  </si>
  <si>
    <t>Campylobacter jejuni/coli:3704</t>
  </si>
  <si>
    <t>Campylobacter sp.:3700</t>
  </si>
  <si>
    <t>Candida albicans:7001</t>
  </si>
  <si>
    <t>Candida dubliniensis:7007</t>
  </si>
  <si>
    <t>Candida glabrata:7003</t>
  </si>
  <si>
    <t>Candida guilliermondii:7006</t>
  </si>
  <si>
    <t>Candida krusei:7005</t>
  </si>
  <si>
    <t>Candida parapsilosis:7004</t>
  </si>
  <si>
    <t>Candida sp.:7000</t>
  </si>
  <si>
    <t>Candida tropicalis:7002</t>
  </si>
  <si>
    <t>Capnocytophaga sp.:3430</t>
  </si>
  <si>
    <t>Cardiobacterium hominis:3451</t>
  </si>
  <si>
    <t>Cardiobacterium sp.:3450</t>
  </si>
  <si>
    <t>Catonella:9825</t>
  </si>
  <si>
    <t>Cedecea davisae:2641</t>
  </si>
  <si>
    <t>Cedecea sp.:2640</t>
  </si>
  <si>
    <t>Cellulomonas:9826</t>
  </si>
  <si>
    <t>Chlamydia sp.:8200</t>
  </si>
  <si>
    <t>Chlamydia trachomatis:8201</t>
  </si>
  <si>
    <t>Chlamydophila pecorum:8204</t>
  </si>
  <si>
    <t>Chlamydophila pneumoniae:8203</t>
  </si>
  <si>
    <t>Chlamydophila psittaci:8202</t>
  </si>
  <si>
    <t>Chlamydophila sp.:8210</t>
  </si>
  <si>
    <t>Chromobacterium:9827</t>
  </si>
  <si>
    <t>Chryseobacterium indologenes:4252</t>
  </si>
  <si>
    <t>Chryseobacterium meningosepticum:4251</t>
  </si>
  <si>
    <t>Chryseobacterium sp.:4250</t>
  </si>
  <si>
    <t>Chryseomonas luteola:4551</t>
  </si>
  <si>
    <t>Chryseomonas sp.:4550</t>
  </si>
  <si>
    <t>Citrobacter amalonaticus:2053</t>
  </si>
  <si>
    <t>Citrobacter braakii:2055</t>
  </si>
  <si>
    <t>Citrobacter freundii:2051</t>
  </si>
  <si>
    <t>Citrobacter koseri:2052</t>
  </si>
  <si>
    <t>Citrobacter sp.:2050</t>
  </si>
  <si>
    <t>Cladosporium sp.:7340</t>
  </si>
  <si>
    <t>Clostridium botulinum:5054</t>
  </si>
  <si>
    <t>Clostridium difficile:5051</t>
  </si>
  <si>
    <t>Clostridium perfringens:5052</t>
  </si>
  <si>
    <t>Clostridium septicum:5055</t>
  </si>
  <si>
    <t>Clostridium sp.:5050</t>
  </si>
  <si>
    <t>Clostridium tetani:5053</t>
  </si>
  <si>
    <t>Coccidioides immitis:7531</t>
  </si>
  <si>
    <t>Coccidioides sp.:7530</t>
  </si>
  <si>
    <t>Comamonas sp.:4600</t>
  </si>
  <si>
    <t>Comments only:9999</t>
  </si>
  <si>
    <t>Corynebacterium diphtheriae:6001</t>
  </si>
  <si>
    <t>Corynebacterium jeikeium:6002</t>
  </si>
  <si>
    <t>Corynebacterium sp.:6000</t>
  </si>
  <si>
    <t>Coxiella:9829</t>
  </si>
  <si>
    <t>Cryptococcus neoformans:7111</t>
  </si>
  <si>
    <t>Cryptococcus sp.:7110</t>
  </si>
  <si>
    <t>Cryptosporidium muris:9012</t>
  </si>
  <si>
    <t>Cryptosporidium parvum:9011</t>
  </si>
  <si>
    <t>Cryptosporidium sp.:9010</t>
  </si>
  <si>
    <t>Cyclospora cayetanensis:9021</t>
  </si>
  <si>
    <t>Cyclospora sp.:9020</t>
  </si>
  <si>
    <t>Delftia acidovorans:4601</t>
  </si>
  <si>
    <t>Delftia sp.:4610</t>
  </si>
  <si>
    <t>Dermabacter:9830</t>
  </si>
  <si>
    <t>Dermacoccus:9831</t>
  </si>
  <si>
    <t>Dermatophilus:9832</t>
  </si>
  <si>
    <t>Desulfovibrio:9834</t>
  </si>
  <si>
    <t>Dialister:9835</t>
  </si>
  <si>
    <t>Dolosigranulum:9836</t>
  </si>
  <si>
    <t>Edwardsiella sp.:2620</t>
  </si>
  <si>
    <t>Edwardsiella tarda:2621</t>
  </si>
  <si>
    <t>Eggerthella lenta:5101</t>
  </si>
  <si>
    <t>Eggerthella sp.:5110</t>
  </si>
  <si>
    <t>Ehrlichia:9837</t>
  </si>
  <si>
    <t>Eikenella corrodens:3471</t>
  </si>
  <si>
    <t>Eikenella sp.:3470</t>
  </si>
  <si>
    <t>Empedobacter:9838</t>
  </si>
  <si>
    <t>Entamoeba histolytica:9001</t>
  </si>
  <si>
    <t>Entamoeba sp.:9000</t>
  </si>
  <si>
    <t>Enterobacter aerogenes:2152</t>
  </si>
  <si>
    <t>Enterobacter asburiae:2155</t>
  </si>
  <si>
    <t>Enterobacter cancerogenus:2156</t>
  </si>
  <si>
    <t>Enterobacter cloacae:2151</t>
  </si>
  <si>
    <t>Enterobacter gergoviae:2154</t>
  </si>
  <si>
    <t>Enterobacter sakazakii:2153</t>
  </si>
  <si>
    <t>Enterobacter sp.:2150</t>
  </si>
  <si>
    <t>Enterococcus avium:1209</t>
  </si>
  <si>
    <t>Enterococcus avium (VRE):1210</t>
  </si>
  <si>
    <t>Enterococcus casseliflavus:1215</t>
  </si>
  <si>
    <t>Enterococcus casseliflavus/gallinarum:1216</t>
  </si>
  <si>
    <t>Enterococcus durans:1213</t>
  </si>
  <si>
    <t>Enterococcus faecalis:1201</t>
  </si>
  <si>
    <t>Enterococcus faecalis (VRE):1202</t>
  </si>
  <si>
    <t>Enterococcus faecium:1205</t>
  </si>
  <si>
    <t>Enterococcus faecium (VRE):1206</t>
  </si>
  <si>
    <t>Enterococcus gallinarum:1214</t>
  </si>
  <si>
    <t>Enterococcus hirae:1217</t>
  </si>
  <si>
    <t>Enterococcus sp.:1200</t>
  </si>
  <si>
    <t>Epidermophyton floccosum:7401</t>
  </si>
  <si>
    <t>Epidermophyton sp.:7400</t>
  </si>
  <si>
    <t>Erwinia:9839</t>
  </si>
  <si>
    <t>Erysipelothrix:9840</t>
  </si>
  <si>
    <t>Escherichia coli:2001</t>
  </si>
  <si>
    <t>Escherichia coli ,enteroaggregative (EAEC):2007</t>
  </si>
  <si>
    <t>Escherichia coli ,enterohemorrhagic (EHEC):2003</t>
  </si>
  <si>
    <t>Escherichia coli ,enteroinvasive (EIEC):2004</t>
  </si>
  <si>
    <t>Escherichia coli ,enteropathogenic (EPEC):2005</t>
  </si>
  <si>
    <t>Escherichia coli ,enterotoxin-producing (ETEC):2006</t>
  </si>
  <si>
    <t>Escherichia coli ,pathogenic:2002</t>
  </si>
  <si>
    <t>Escherichia hermannii:2011</t>
  </si>
  <si>
    <t>Escherichia sp.:2000</t>
  </si>
  <si>
    <t>Escherichia vulneris:2012</t>
  </si>
  <si>
    <t>Eubacterium sp.:5100</t>
  </si>
  <si>
    <t>Ewingella americana:2681</t>
  </si>
  <si>
    <t>Ewingella sp.:2680</t>
  </si>
  <si>
    <t>Fibrobacter:9841</t>
  </si>
  <si>
    <t>Finegoldia magna:5001</t>
  </si>
  <si>
    <t>Finegoldia sp.:5033</t>
  </si>
  <si>
    <t>Flavimonas oryzihabitans:4651</t>
  </si>
  <si>
    <t>Flavimonas sp.:4650</t>
  </si>
  <si>
    <t>Flavobacterium sp.:4200</t>
  </si>
  <si>
    <t>Fonsecaea pedrosoi:7351</t>
  </si>
  <si>
    <t>Fonsecaea sp.:7350</t>
  </si>
  <si>
    <t>Francisella sp.:3500</t>
  </si>
  <si>
    <t>Francisella tularensis subsp. tularensis:3501</t>
  </si>
  <si>
    <t>Fusarium solani:7421</t>
  </si>
  <si>
    <t>Fusarium sp.:7420</t>
  </si>
  <si>
    <t>Fusobacterium mortiferum:5654</t>
  </si>
  <si>
    <t>Fusobacterium necrophorum subsp. necrophorum:5653</t>
  </si>
  <si>
    <t>Fusobacterium nucleatum subsp. nucleatum:5651</t>
  </si>
  <si>
    <t>Fusobacterium sp.:5650</t>
  </si>
  <si>
    <t>Fusobacterium varium:5652</t>
  </si>
  <si>
    <t>Gardnerella sp.:3250</t>
  </si>
  <si>
    <t>Gardnerella vaginalis:3251</t>
  </si>
  <si>
    <t>Gemella:9842</t>
  </si>
  <si>
    <t>Giardia lamblia:9041</t>
  </si>
  <si>
    <t>Giardia sp.:9040</t>
  </si>
  <si>
    <t>Globicatella:9843</t>
  </si>
  <si>
    <t>Gordonia:9844</t>
  </si>
  <si>
    <t>Gram-negative bacilli:1014</t>
  </si>
  <si>
    <t>Gram-negative cocci:1013</t>
  </si>
  <si>
    <t>Gram-positive bacilli:1012</t>
  </si>
  <si>
    <t>Gram-positive cocci:1011</t>
  </si>
  <si>
    <t>Group C β-Streptococcus:1117</t>
  </si>
  <si>
    <t>Group F β-Streptococcus:1120</t>
  </si>
  <si>
    <t>Group G β-Streptococcus:1123</t>
  </si>
  <si>
    <t>Haemophilus aphrophilus:3244</t>
  </si>
  <si>
    <t>Haemophilus ducreyi:3243</t>
  </si>
  <si>
    <t>Haemophilus haemoglobinophilus:3242</t>
  </si>
  <si>
    <t>Haemophilus haemolyticus:3240</t>
  </si>
  <si>
    <t>Haemophilus influenzae:3201</t>
  </si>
  <si>
    <t>Haemophilus influenzae (beta-lactamase non-producing):3202</t>
  </si>
  <si>
    <t>Haemophilus influenzae (beta-lactamase producing):3203</t>
  </si>
  <si>
    <t>Haemophilus influenzae biotypeⅠ:3205</t>
  </si>
  <si>
    <t>Haemophilus influenzae biotypeⅡ:3208</t>
  </si>
  <si>
    <t>Haemophilus influenzae biotypeⅢ:3211</t>
  </si>
  <si>
    <t>Haemophilus influenzae biotypeⅣ:3214</t>
  </si>
  <si>
    <t>Haemophilus influenzae biotypeⅤ:3217</t>
  </si>
  <si>
    <t>Haemophilus influenzae biotypeⅥ‐1:3220</t>
  </si>
  <si>
    <t>Haemophilus influenzae biotypeⅥ‐2:3223</t>
  </si>
  <si>
    <t>Haemophilus parahaemolyticus:3241</t>
  </si>
  <si>
    <t>Haemophilus parainfluenzae:3230</t>
  </si>
  <si>
    <t>Haemophilus paraphrophilus:3245</t>
  </si>
  <si>
    <t>Haemophilus sp.:3200</t>
  </si>
  <si>
    <t>Hafnia alvei:2631</t>
  </si>
  <si>
    <t>Hafnia sp.:2630</t>
  </si>
  <si>
    <t>Hallella:9846</t>
  </si>
  <si>
    <t>Halococcus:9847</t>
  </si>
  <si>
    <t>Helicobacter pylori:3731</t>
  </si>
  <si>
    <t>Helicobacter sp.:3730</t>
  </si>
  <si>
    <t>Histoplasma capsulatum:7541</t>
  </si>
  <si>
    <t>Histoplasma sp.:7540</t>
  </si>
  <si>
    <t>Isospora sp.:9030</t>
  </si>
  <si>
    <t>Janthinobacterium:9848</t>
  </si>
  <si>
    <t>Johnsonella:9849</t>
  </si>
  <si>
    <t>Kingella kingae:3801</t>
  </si>
  <si>
    <t>Kingella sp.:3800</t>
  </si>
  <si>
    <t>Klebsiella oxytoca:2352</t>
  </si>
  <si>
    <t>Klebsiella pneumoniae subsp. ozaenae:2353</t>
  </si>
  <si>
    <t>Klebsiella pneumoniae subsp. pneumoniae:2351</t>
  </si>
  <si>
    <t>Klebsiella pneumoniae subsp. rhinoscleromatis:2354</t>
  </si>
  <si>
    <t>Klebsiella sp.:2350</t>
  </si>
  <si>
    <t>Kluyvera ascorbata:2651</t>
  </si>
  <si>
    <t>Kluyvera sp.:2650</t>
  </si>
  <si>
    <t>Kocuria:9850</t>
  </si>
  <si>
    <t>Kurthia:9851</t>
  </si>
  <si>
    <t>Kytococcus:9852</t>
  </si>
  <si>
    <t>Lactobacillus sp.:5900</t>
  </si>
  <si>
    <t>Lactococcus lactis subsp. lactis:1501</t>
  </si>
  <si>
    <t>Lactococcus sp.:1500</t>
  </si>
  <si>
    <t>Lautropia:9853</t>
  </si>
  <si>
    <t>Lawsonia:9854</t>
  </si>
  <si>
    <t>Leclercia adecarboxylata:2661</t>
  </si>
  <si>
    <t>Leclercia sp.:2660</t>
  </si>
  <si>
    <t>Legionella pneumophila subsp. pneumophila:3301</t>
  </si>
  <si>
    <t>Legionella sp.:3300</t>
  </si>
  <si>
    <t>Leminorella:9855</t>
  </si>
  <si>
    <t>Leptospira interrogans:8401</t>
  </si>
  <si>
    <t>Leptospira sp.:8400</t>
  </si>
  <si>
    <t>Leptotrichia buccalis:8402</t>
  </si>
  <si>
    <t>Leuconostoc:9857</t>
  </si>
  <si>
    <t>Listeria monocytogenes:6051</t>
  </si>
  <si>
    <t>Listeria sp.:6050</t>
  </si>
  <si>
    <t>Listonella:9858</t>
  </si>
  <si>
    <t>Malassezia furfur:7151</t>
  </si>
  <si>
    <t>Malassezia sp.:7150</t>
  </si>
  <si>
    <t>Methylobacterium:9859</t>
  </si>
  <si>
    <t>Micrococcus sp.:1400</t>
  </si>
  <si>
    <t>Micromonas micros:5006</t>
  </si>
  <si>
    <t>Microsporum canis:7331</t>
  </si>
  <si>
    <t>Microsporum gypseum:7332</t>
  </si>
  <si>
    <t>Microsporum sp.:7330</t>
  </si>
  <si>
    <t>Mitsuokella:9860</t>
  </si>
  <si>
    <t>Mobiluncus sp.:5400</t>
  </si>
  <si>
    <t>Moellerella:9861</t>
  </si>
  <si>
    <t>Moraxella (Branhamella) catarrhalis:1851</t>
  </si>
  <si>
    <t>Moraxella (Branhamella) sp.:1850</t>
  </si>
  <si>
    <t>Moraxella bovis:4503</t>
  </si>
  <si>
    <t>Moraxella lacunata:4501</t>
  </si>
  <si>
    <t>Moraxella osloensis:4502</t>
  </si>
  <si>
    <t>Moraxella sp.:4500</t>
  </si>
  <si>
    <t>Morganella morganii subsp. morganii:2251</t>
  </si>
  <si>
    <t>Morganella sp.:2250</t>
  </si>
  <si>
    <t>Mucor circinelloides:7501</t>
  </si>
  <si>
    <t>Mucor sp.:7500</t>
  </si>
  <si>
    <t>Mycobacterium abscessus:6512</t>
  </si>
  <si>
    <t>Mycobacterium avium complex:6505</t>
  </si>
  <si>
    <t>Mycobacterium avium subsp. avium:6503</t>
  </si>
  <si>
    <t>Mycobacterium chelonae subsp. chelonae:6511</t>
  </si>
  <si>
    <t>Mycobacterium fortuitum subsp. fortuitum:6510</t>
  </si>
  <si>
    <t>Mycobacterium gordonae:6509</t>
  </si>
  <si>
    <t>Mycobacterium intracellulare:6504</t>
  </si>
  <si>
    <t>Mycobacterium kansasii:6506</t>
  </si>
  <si>
    <t>Mycobacterium marinum:6507</t>
  </si>
  <si>
    <t>Mycobacterium scrofulaceum:6508</t>
  </si>
  <si>
    <t>Mycobacterium sp.:6500</t>
  </si>
  <si>
    <t>Mycobacterium tuberculosis:6501</t>
  </si>
  <si>
    <t>Mycobacterium tuberculosis complex:6502</t>
  </si>
  <si>
    <t>Mycoplasma pneumoniae:8001</t>
  </si>
  <si>
    <t>Mycoplasma sp.:8000</t>
  </si>
  <si>
    <t>Myroides odoratus:4201</t>
  </si>
  <si>
    <t>Myroides sp.:4210</t>
  </si>
  <si>
    <t>Neisseria gonorrhoeae:1801</t>
  </si>
  <si>
    <t>Neisseria gonorrhoeae(beta-lactamase non-producing):1802</t>
  </si>
  <si>
    <t>Neisseria gonorrhoeae(beta-lactamase producing):1803</t>
  </si>
  <si>
    <t>Neisseria meningitidis:1805</t>
  </si>
  <si>
    <t>Neisseria sp.:1800</t>
  </si>
  <si>
    <t>Nesterenkonia:9862</t>
  </si>
  <si>
    <t>Nocardia asteroides:6201</t>
  </si>
  <si>
    <t>Nocardia brasiliensis:6203</t>
  </si>
  <si>
    <t>Nocardia sp.:6200</t>
  </si>
  <si>
    <t>Nocardiopsis:9863</t>
  </si>
  <si>
    <t>Obesumbacterium:9864</t>
  </si>
  <si>
    <t>Ochrobactrum:9865</t>
  </si>
  <si>
    <t>Oenococcus:9866</t>
  </si>
  <si>
    <t>Oerskovia:9867</t>
  </si>
  <si>
    <t>Oligella:9868</t>
  </si>
  <si>
    <t>Orientia:9869</t>
  </si>
  <si>
    <t>Other species (includes non-identifiable):9998</t>
  </si>
  <si>
    <t>Paenibacillus:9870</t>
  </si>
  <si>
    <t>Pantoea agglomerans:2171</t>
  </si>
  <si>
    <t>Pantoea sp.:2170</t>
  </si>
  <si>
    <t>Paracoccidioides brasiliensis:7561</t>
  </si>
  <si>
    <t>Paracoccidioides sp.:7560</t>
  </si>
  <si>
    <t>Parvimonas sp.:5036</t>
  </si>
  <si>
    <t>Pasteurella multocida subsp. multocida:3101</t>
  </si>
  <si>
    <t>Pasteurella sp.:3100</t>
  </si>
  <si>
    <t>Pediococcus:9871</t>
  </si>
  <si>
    <t>Penicillium marneffei:7311</t>
  </si>
  <si>
    <t>Penicillium sp.:7310</t>
  </si>
  <si>
    <t>Peptococcus niger:5021</t>
  </si>
  <si>
    <t>Peptococcus sp.:5020</t>
  </si>
  <si>
    <t>Peptoniphilus asaccharolyticus:5003</t>
  </si>
  <si>
    <t>Peptoniphilus sp.:5039</t>
  </si>
  <si>
    <t>Peptostreptococcus anaerobius:5004</t>
  </si>
  <si>
    <t>Peptostreptococcus sp.:5000</t>
  </si>
  <si>
    <t>Photobacterium:9872</t>
  </si>
  <si>
    <t>Photorhabdus:9873</t>
  </si>
  <si>
    <t>Plesiomonas shigelloides:3151</t>
  </si>
  <si>
    <t>Plesiomonas sp.:3150</t>
  </si>
  <si>
    <t>Pneumocystis carinii:7901</t>
  </si>
  <si>
    <t>Pneumocystis jirovecii:7902</t>
  </si>
  <si>
    <t>Pneumocystis sp.:7900</t>
  </si>
  <si>
    <t>Porphyromonas asaccharolytica:5601</t>
  </si>
  <si>
    <t>Porphyromonas gingivalis:5602</t>
  </si>
  <si>
    <t>Porphyromonas sp.:5600</t>
  </si>
  <si>
    <t>Pragia:9874</t>
  </si>
  <si>
    <t>Prevotella bivia:5554</t>
  </si>
  <si>
    <t>Prevotella buccae:5555</t>
  </si>
  <si>
    <t>Prevotella corporis:5559</t>
  </si>
  <si>
    <t>Prevotella denticola:5556</t>
  </si>
  <si>
    <t>Prevotella intermedia:5558</t>
  </si>
  <si>
    <t>Prevotella loescheii:5557</t>
  </si>
  <si>
    <t>Prevotella melaninogenica:5551</t>
  </si>
  <si>
    <t>Prevotella oralis:5552</t>
  </si>
  <si>
    <t>Prevotella ruminicola subsp. ruminicola:5553</t>
  </si>
  <si>
    <t>Prevotella sp.:5550</t>
  </si>
  <si>
    <t>Propionibacterium acnes:5151</t>
  </si>
  <si>
    <t>Propionibacterium sp.:5150</t>
  </si>
  <si>
    <t>Propioniferax:9875</t>
  </si>
  <si>
    <t>Proteus mirabilis:2201</t>
  </si>
  <si>
    <t>Proteus penneri:2203</t>
  </si>
  <si>
    <t>Proteus sp.:2200</t>
  </si>
  <si>
    <t>Proteus vulgaris:2202</t>
  </si>
  <si>
    <t>Providencia alcalifaciens:2304</t>
  </si>
  <si>
    <t>Providencia rettgeri:2301</t>
  </si>
  <si>
    <t>Providencia sp.:2300</t>
  </si>
  <si>
    <t>Providencia stuartii:2305</t>
  </si>
  <si>
    <t>Pseudomonas aeruginosa:4001</t>
  </si>
  <si>
    <t>Pseudomonas fluorescens:4012</t>
  </si>
  <si>
    <t>Pseudomonas putida:4011</t>
  </si>
  <si>
    <t>Pseudomonas sp.:4000</t>
  </si>
  <si>
    <t>Psychrobacter:9876</t>
  </si>
  <si>
    <t>Rahnella aquatilis:2691</t>
  </si>
  <si>
    <t>Rahnella sp.:2690</t>
  </si>
  <si>
    <t>Ralstonia pickettii:4003</t>
  </si>
  <si>
    <t>Rhizobium radiobacter:4451</t>
  </si>
  <si>
    <t>Rhizobium sp.:4450</t>
  </si>
  <si>
    <t>Rhizomucor pusillus:7511</t>
  </si>
  <si>
    <t>Rhizomucor sp.:7510</t>
  </si>
  <si>
    <t>Rhizopus oryzae:7521</t>
  </si>
  <si>
    <t>Rhizopus sp.:7520</t>
  </si>
  <si>
    <t>Rhodococcus:9877</t>
  </si>
  <si>
    <t>Rhodotorula rubra:7131</t>
  </si>
  <si>
    <t>Rhodotorula sp.:7130</t>
  </si>
  <si>
    <t>Rickettsia sp.:8600</t>
  </si>
  <si>
    <t>Riemerella:9878</t>
  </si>
  <si>
    <t>Rikenella:9879</t>
  </si>
  <si>
    <t>Rothia:9880</t>
  </si>
  <si>
    <t>Ruminococcus productus:5005</t>
  </si>
  <si>
    <t>Ruminococcus sp.:5042</t>
  </si>
  <si>
    <t>Saccharomyces cerevisiae:7141</t>
  </si>
  <si>
    <t>Saccharomyces sp.:7140</t>
  </si>
  <si>
    <t>Salmonella arizonae:2454</t>
  </si>
  <si>
    <t>Salmonella Enteritidis:2455</t>
  </si>
  <si>
    <t>Salmonella Paratyphi A:2452</t>
  </si>
  <si>
    <t>Salmonella sp.:2450</t>
  </si>
  <si>
    <t>Salmonella sp. (other than S. Typhi, S. Paratyphi A):2453</t>
  </si>
  <si>
    <t>Salmonella Typhi:2451</t>
  </si>
  <si>
    <t>Salmonella Typhimurium:2456</t>
  </si>
  <si>
    <t>Sanguibacter:9882</t>
  </si>
  <si>
    <t>Sebaldella:9883</t>
  </si>
  <si>
    <t>Selenomonas:9884</t>
  </si>
  <si>
    <t>Serpulina:9885</t>
  </si>
  <si>
    <t>Serratia liquefaciens:2102</t>
  </si>
  <si>
    <t>Serratia marcescens subsp. marcescens:2101</t>
  </si>
  <si>
    <t>Serratia odorifera:2105</t>
  </si>
  <si>
    <t>Serratia plymuthica:2103</t>
  </si>
  <si>
    <t>Serratia rubidaea:2104</t>
  </si>
  <si>
    <t>Serratia sp.:2100</t>
  </si>
  <si>
    <t>Shewanella putrefaciens:4351</t>
  </si>
  <si>
    <t>Shewanella sp.:4350</t>
  </si>
  <si>
    <t>Shigella boydii:2504</t>
  </si>
  <si>
    <t>Shigella dysenteriae:2503</t>
  </si>
  <si>
    <t>Shigella flexneri:2501</t>
  </si>
  <si>
    <t>Shigella sonnei:2502</t>
  </si>
  <si>
    <t>Shigella sp.:2500</t>
  </si>
  <si>
    <t>Sphingobacterium multivorum:4301</t>
  </si>
  <si>
    <t>Sphingobacterium sp.:4300</t>
  </si>
  <si>
    <t>Sphingobacterium spiritivorum:4302</t>
  </si>
  <si>
    <t>Sphingomonas:9886</t>
  </si>
  <si>
    <t>Spiroplasma:9887</t>
  </si>
  <si>
    <t>Sporothrix schenckii:7411</t>
  </si>
  <si>
    <t>Sporothrix sp.:7410</t>
  </si>
  <si>
    <t>Staphylococcus ,coagulase negative (CNS):1311</t>
  </si>
  <si>
    <t>Staphylococcus aureus (MRSA):1303</t>
  </si>
  <si>
    <t>Staphylococcus aureus (MSSA):1304</t>
  </si>
  <si>
    <t>Staphylococcus aureus (MSSA) (beta-lactamase non-producing):1305</t>
  </si>
  <si>
    <t>Staphylococcus aureus (MSSA) (beta-lactamase producing):1306</t>
  </si>
  <si>
    <t>Staphylococcus aureus subsp. aureus:1301</t>
  </si>
  <si>
    <t>Staphylococcus auricularis:1317</t>
  </si>
  <si>
    <t>Staphylococcus capitis subsp. capitis:1325</t>
  </si>
  <si>
    <t>Staphylococcus cohnii subsp. cohnii:1319</t>
  </si>
  <si>
    <t>Staphylococcus epidermidis:1312</t>
  </si>
  <si>
    <t>Staphylococcus haemolyticus:1324</t>
  </si>
  <si>
    <t>Staphylococcus hominis subsp. hominis:1314</t>
  </si>
  <si>
    <t>Staphylococcus hyicus:1323</t>
  </si>
  <si>
    <t>Staphylococcus intermedius:1322</t>
  </si>
  <si>
    <t>Staphylococcus lentus:1316</t>
  </si>
  <si>
    <t>Staphylococcus saprophyticus subsp. saprophyticus:1313</t>
  </si>
  <si>
    <t>Staphylococcus sciuri subsp. sciuri:1321</t>
  </si>
  <si>
    <t>Staphylococcus simulans:1318</t>
  </si>
  <si>
    <t>Staphylococcus sp.:1300</t>
  </si>
  <si>
    <t>Staphylococcus warneri:1315</t>
  </si>
  <si>
    <t>Staphylococcus xylosus:1320</t>
  </si>
  <si>
    <t>Stenotrophomonas maltophilia:4151</t>
  </si>
  <si>
    <t>Stenotrophomonas sp.:4150</t>
  </si>
  <si>
    <t>Streptobacillus:9889</t>
  </si>
  <si>
    <t>Streptococcus acidominimus:1151</t>
  </si>
  <si>
    <t>Streptococcus agalactiae:1114</t>
  </si>
  <si>
    <t>Streptococcus anginosus:1144</t>
  </si>
  <si>
    <t>Streptococcus bovis:1146</t>
  </si>
  <si>
    <t>Streptococcus constellatus subsp. constellatus:1150</t>
  </si>
  <si>
    <t>Streptococcus equinus:1148</t>
  </si>
  <si>
    <t>Streptococcus intermedius:1145</t>
  </si>
  <si>
    <t>Streptococcus mitis:1143</t>
  </si>
  <si>
    <t>Streptococcus mutans:1141</t>
  </si>
  <si>
    <t>Streptococcus pneumoniae:1131</t>
  </si>
  <si>
    <t>Streptococcus pyogenes:1111</t>
  </si>
  <si>
    <t>Streptococcus salivarius:1147</t>
  </si>
  <si>
    <t>Streptococcus sanguis:1142</t>
  </si>
  <si>
    <t>Streptococcus uberis:1149</t>
  </si>
  <si>
    <t>Streptomyces:9890</t>
  </si>
  <si>
    <t>Succinivibrio:9891</t>
  </si>
  <si>
    <t>Suttonella:9892</t>
  </si>
  <si>
    <t>Tatumella ptyseos:2611</t>
  </si>
  <si>
    <t>Tatumella sp.:2610</t>
  </si>
  <si>
    <t>Taylorella:9893</t>
  </si>
  <si>
    <t>Tetragenococcus:9894</t>
  </si>
  <si>
    <t>Thermoactinomyces:9895</t>
  </si>
  <si>
    <t>Tissierella:9896</t>
  </si>
  <si>
    <t>Toxoplasma gondii:9081</t>
  </si>
  <si>
    <t>Toxoplasma sp.:9080</t>
  </si>
  <si>
    <t>Trabulsiella:9897</t>
  </si>
  <si>
    <t>Treponema pallidum:8301</t>
  </si>
  <si>
    <t>Treponema sp.:8300</t>
  </si>
  <si>
    <t>Trichomonas sp.:9070</t>
  </si>
  <si>
    <t>Trichomonas vaginalis:9071</t>
  </si>
  <si>
    <t>Trichophyton mentagrophytes:7322</t>
  </si>
  <si>
    <t>Trichophyton rubrum:7321</t>
  </si>
  <si>
    <t>Trichophyton sp.:7320</t>
  </si>
  <si>
    <t>Trichophyton tonsurans:7323</t>
  </si>
  <si>
    <t>Trichosporon asahii:7123</t>
  </si>
  <si>
    <t>Trichosporon capitatum:7122</t>
  </si>
  <si>
    <t>Trichosporon mucoides:7124</t>
  </si>
  <si>
    <t>Trichosporon sp.:7120</t>
  </si>
  <si>
    <t>Tsukamurella:9898</t>
  </si>
  <si>
    <t>Turicella:9899</t>
  </si>
  <si>
    <t>Ureaplasma sp.:8100</t>
  </si>
  <si>
    <t>Ureaplasma urealyticum:8101</t>
  </si>
  <si>
    <t>Vagococcus:9900</t>
  </si>
  <si>
    <t>Veillonella parvula:5801</t>
  </si>
  <si>
    <t>Veillonella sp.:5800</t>
  </si>
  <si>
    <t>Vibrio alginolyticus:3008</t>
  </si>
  <si>
    <t>Vibrio cholerae non O-1:3003</t>
  </si>
  <si>
    <t>Vibrio cholerae O-1:3001</t>
  </si>
  <si>
    <t>Vibrio cholerae O-139:3002</t>
  </si>
  <si>
    <t>Vibrio fluvialis:3005</t>
  </si>
  <si>
    <t>Vibrio furnissii:3009</t>
  </si>
  <si>
    <t>Vibrio mimicus:3006</t>
  </si>
  <si>
    <t>Vibrio parahaemolyticus:3004</t>
  </si>
  <si>
    <t>Vibrio sp.:3000</t>
  </si>
  <si>
    <t>Vibrio vulnificus:3007</t>
  </si>
  <si>
    <t>Weeksella:9901</t>
  </si>
  <si>
    <t>Weissella:9902</t>
  </si>
  <si>
    <t>Wolinella:9903</t>
  </si>
  <si>
    <t>Xenorhabdus:9904</t>
  </si>
  <si>
    <t>Yeasts:1015</t>
  </si>
  <si>
    <t>Yersinia enterocolitica subsp. enterocolitica:2401</t>
  </si>
  <si>
    <t>Yersinia pestis:2403</t>
  </si>
  <si>
    <t>Yersinia pseudotuberculosis:2402</t>
  </si>
  <si>
    <t>Yersinia sp.:2400</t>
  </si>
  <si>
    <t>Yokenella:9905</t>
  </si>
  <si>
    <t>α-Streptococcus:1101</t>
  </si>
  <si>
    <t>β-Streptococcus:1102</t>
  </si>
  <si>
    <t>γ-Streptococcus:1103</t>
  </si>
  <si>
    <t>ON</t>
  </si>
  <si>
    <t>Ascites</t>
  </si>
  <si>
    <t>Cerebrospinal fluid</t>
  </si>
  <si>
    <t>Continuous Ambulatory Peritoneal Dialysis drainage</t>
  </si>
  <si>
    <t>Joint fluid</t>
  </si>
  <si>
    <t>Pericardial effusion</t>
  </si>
  <si>
    <t>Pleural effusion</t>
  </si>
  <si>
    <t>Urine collected by catheter</t>
  </si>
  <si>
    <t>Urine obtained from indwelling catheter</t>
  </si>
  <si>
    <t>caregory(未使用)</t>
    <rPh sb="9" eb="12">
      <t>ミシヨウ</t>
    </rPh>
    <phoneticPr fontId="1"/>
  </si>
  <si>
    <t>Absidia corymbifera</t>
  </si>
  <si>
    <t>Absidia sp.</t>
  </si>
  <si>
    <t>Acanthamoeba sp.</t>
  </si>
  <si>
    <t>Acholeplasma</t>
  </si>
  <si>
    <t>Acidaminococcus</t>
  </si>
  <si>
    <t>Acidovorax</t>
  </si>
  <si>
    <t>Acinetobacter baumannii</t>
  </si>
  <si>
    <t>Acinetobacter calcoaceticus</t>
  </si>
  <si>
    <t>Acinetobacter lwoffii</t>
  </si>
  <si>
    <t>Acinetobacter sp.</t>
  </si>
  <si>
    <t>Actinobacillus actinomycetemcomitans</t>
  </si>
  <si>
    <t>Actinobacillus sp.</t>
  </si>
  <si>
    <t>Actinomadura</t>
  </si>
  <si>
    <t>Actinomyces israelii</t>
  </si>
  <si>
    <t>Actinomyces sp.</t>
  </si>
  <si>
    <t>Aerococcus sp.</t>
  </si>
  <si>
    <t>Aeromonas caviae</t>
  </si>
  <si>
    <t>Aeromonas hydrophila subsp. hydrophila</t>
  </si>
  <si>
    <t>Aeromonas sobria</t>
  </si>
  <si>
    <t>Aeromonas sp.</t>
  </si>
  <si>
    <t>Afipia</t>
  </si>
  <si>
    <t>Alcaligenes faecalis subsp. faecalis</t>
  </si>
  <si>
    <t>Alcaligenes sp.</t>
  </si>
  <si>
    <t>Alcaligenes xylosoxidans subsp. xylosoxidans</t>
  </si>
  <si>
    <t>Alloiococcus</t>
  </si>
  <si>
    <t>Alternaria alternata</t>
  </si>
  <si>
    <t>Alternaria sp.</t>
  </si>
  <si>
    <t>Alternaria tenuissima</t>
  </si>
  <si>
    <t>Anaerobiospirillum</t>
  </si>
  <si>
    <t>Anaerococcus prevotii</t>
  </si>
  <si>
    <t>Anaerococcus sp.</t>
  </si>
  <si>
    <t>Anaerorhabdus</t>
  </si>
  <si>
    <t>Arcanobacterium</t>
  </si>
  <si>
    <t>Arthrobacter</t>
  </si>
  <si>
    <t>Aspergillus flavus</t>
  </si>
  <si>
    <t>Aspergillus fumigatus</t>
  </si>
  <si>
    <t>Aspergillus nidulans</t>
  </si>
  <si>
    <t>Aspergillus niger</t>
  </si>
  <si>
    <t>Aspergillus sp.</t>
  </si>
  <si>
    <t>Aspergillus terreus</t>
  </si>
  <si>
    <t>Atopobium</t>
  </si>
  <si>
    <t>Bacillus anthracis</t>
  </si>
  <si>
    <t>Bacillus cereus</t>
  </si>
  <si>
    <t>Bacillus sp.</t>
  </si>
  <si>
    <t>Bacillus subtilis subsp. subtilis</t>
  </si>
  <si>
    <t>Bacteroides caccae</t>
  </si>
  <si>
    <t>Bacteroides distasonis</t>
  </si>
  <si>
    <t>Bacteroides fragilis</t>
  </si>
  <si>
    <t>Bacteroides ovatus</t>
  </si>
  <si>
    <t>Bacteroides sp.</t>
  </si>
  <si>
    <t>Bacteroides thetaiotaomicron</t>
  </si>
  <si>
    <t>Bacteroides uniformis</t>
  </si>
  <si>
    <t>Bacteroides vulgatus</t>
  </si>
  <si>
    <t>Balantidium coli</t>
  </si>
  <si>
    <t>Balantidium sp.</t>
  </si>
  <si>
    <t>Balneatrix</t>
  </si>
  <si>
    <t>Bartonella</t>
  </si>
  <si>
    <t>Bergeyella</t>
  </si>
  <si>
    <t>Bifidobacterium sp.</t>
  </si>
  <si>
    <t>Bilophila</t>
  </si>
  <si>
    <t>Blastomyces dermatitidis</t>
  </si>
  <si>
    <t>Blastomyces sp.</t>
  </si>
  <si>
    <t>Bordetella bronchiseptica</t>
  </si>
  <si>
    <t>Bordetella parapertussis</t>
  </si>
  <si>
    <t>Bordetella pertussis</t>
  </si>
  <si>
    <t>Bordetella sp.</t>
  </si>
  <si>
    <t>Borrelia burgdorferi</t>
  </si>
  <si>
    <t>Borrelia sp.</t>
  </si>
  <si>
    <t>Brachyspira</t>
  </si>
  <si>
    <t>Bradyrhizobium</t>
  </si>
  <si>
    <t>Brevibacterium</t>
  </si>
  <si>
    <t>Brevundimonas</t>
  </si>
  <si>
    <t>Brochothrix</t>
  </si>
  <si>
    <t>Brucella melitensis</t>
  </si>
  <si>
    <t>Brucella melitensis biovar. abortus</t>
  </si>
  <si>
    <t>Brucella melitensis biovar. canis</t>
  </si>
  <si>
    <t>Brucella melitensis biovar. suis</t>
  </si>
  <si>
    <t>Brucella sp.</t>
  </si>
  <si>
    <t>Budvicia</t>
  </si>
  <si>
    <t>Burkholderia cepacia</t>
  </si>
  <si>
    <t>Burkholderia mallei</t>
  </si>
  <si>
    <t>Burkholderia pseudomallei</t>
  </si>
  <si>
    <t>Burkholderia sp.</t>
  </si>
  <si>
    <t>Buttiauxella agrestis</t>
  </si>
  <si>
    <t>Buttiauxella sp.</t>
  </si>
  <si>
    <t>Butyrivibrio</t>
  </si>
  <si>
    <t>Calymmatobacterium</t>
  </si>
  <si>
    <t>Campylobacter coli</t>
  </si>
  <si>
    <t>Campylobacter fetus subsp. fetus</t>
  </si>
  <si>
    <t>Campylobacter jejuni subsp. jejuni</t>
  </si>
  <si>
    <t>Campylobacter jejuni/coli</t>
  </si>
  <si>
    <t>Campylobacter sp.</t>
  </si>
  <si>
    <t>Candida albicans</t>
  </si>
  <si>
    <t>Candida dubliniensis</t>
  </si>
  <si>
    <t>Candida glabrata</t>
  </si>
  <si>
    <t>Candida guilliermondii</t>
  </si>
  <si>
    <t>Candida krusei</t>
  </si>
  <si>
    <t>Candida parapsilosis</t>
  </si>
  <si>
    <t>Candida sp.</t>
  </si>
  <si>
    <t>Candida tropicalis</t>
  </si>
  <si>
    <t>Capnocytophaga sp.</t>
  </si>
  <si>
    <t>Cardiobacterium hominis</t>
  </si>
  <si>
    <t>Cardiobacterium sp.</t>
  </si>
  <si>
    <t>Catonella</t>
  </si>
  <si>
    <t>Cedecea davisae</t>
  </si>
  <si>
    <t>Cedecea sp.</t>
  </si>
  <si>
    <t>Cellulomonas</t>
  </si>
  <si>
    <t>Chlamydia sp.</t>
  </si>
  <si>
    <t>Chlamydia trachomatis</t>
  </si>
  <si>
    <t>Chlamydophila pecorum</t>
  </si>
  <si>
    <t>Chlamydophila pneumoniae</t>
  </si>
  <si>
    <t>Chlamydophila psittaci</t>
  </si>
  <si>
    <t>Chlamydophila sp.</t>
  </si>
  <si>
    <t>Chromobacterium</t>
  </si>
  <si>
    <t>Chryseobacterium indologenes</t>
  </si>
  <si>
    <t>Chryseobacterium meningosepticum</t>
  </si>
  <si>
    <t>Chryseobacterium sp.</t>
  </si>
  <si>
    <t>Chryseomonas luteola</t>
  </si>
  <si>
    <t>Chryseomonas sp.</t>
  </si>
  <si>
    <t>Citrobacter amalonaticus</t>
  </si>
  <si>
    <t>Citrobacter braakii</t>
  </si>
  <si>
    <t>Citrobacter freundii</t>
  </si>
  <si>
    <t>Citrobacter koseri</t>
  </si>
  <si>
    <t>Citrobacter sp.</t>
  </si>
  <si>
    <t>Cladosporium sp.</t>
  </si>
  <si>
    <t>Clostridium botulinum</t>
  </si>
  <si>
    <t>Clostridium difficile</t>
  </si>
  <si>
    <t>Clostridium perfringens</t>
  </si>
  <si>
    <t>Clostridium septicum</t>
  </si>
  <si>
    <t>Clostridium sp.</t>
  </si>
  <si>
    <t>Clostridium tetani</t>
  </si>
  <si>
    <t>Coccidioides immitis</t>
  </si>
  <si>
    <t>Coccidioides sp.</t>
  </si>
  <si>
    <t>Comamonas sp.</t>
  </si>
  <si>
    <t>Comments only</t>
  </si>
  <si>
    <t>Corynebacterium diphtheriae</t>
  </si>
  <si>
    <t>Corynebacterium jeikeium</t>
  </si>
  <si>
    <t>Corynebacterium sp.</t>
  </si>
  <si>
    <t>Coxiella</t>
  </si>
  <si>
    <t>Cryptococcus neoformans</t>
  </si>
  <si>
    <t>Cryptococcus sp.</t>
  </si>
  <si>
    <t>Cryptosporidium muris</t>
  </si>
  <si>
    <t>Cryptosporidium parvum</t>
  </si>
  <si>
    <t>Cryptosporidium sp.</t>
  </si>
  <si>
    <t>Cyclospora cayetanensis</t>
  </si>
  <si>
    <t>Cyclospora sp.</t>
  </si>
  <si>
    <t>Delftia acidovorans</t>
  </si>
  <si>
    <t>Delftia sp.</t>
  </si>
  <si>
    <t>Dermabacter</t>
  </si>
  <si>
    <t>Dermacoccus</t>
  </si>
  <si>
    <t>Dermatophilus</t>
  </si>
  <si>
    <t>Desulfovibrio</t>
  </si>
  <si>
    <t>Dialister</t>
  </si>
  <si>
    <t>Dolosigranulum</t>
  </si>
  <si>
    <t>Edwardsiella sp.</t>
  </si>
  <si>
    <t>Edwardsiella tarda</t>
  </si>
  <si>
    <t>Eggerthella lenta</t>
  </si>
  <si>
    <t>Eggerthella sp.</t>
  </si>
  <si>
    <t>Ehrlichia</t>
  </si>
  <si>
    <t>Eikenella corrodens</t>
  </si>
  <si>
    <t>Eikenella sp.</t>
  </si>
  <si>
    <t>Empedobacter</t>
  </si>
  <si>
    <t>Entamoeba histolytica</t>
  </si>
  <si>
    <t>Entamoeba sp.</t>
  </si>
  <si>
    <t>Enterobacter aerogenes</t>
  </si>
  <si>
    <t>Enterobacter asburiae</t>
  </si>
  <si>
    <t>Enterobacter cancerogenus</t>
  </si>
  <si>
    <t>Enterobacter cloacae</t>
  </si>
  <si>
    <t>Enterobacter gergoviae</t>
  </si>
  <si>
    <t>Enterobacter sakazakii</t>
  </si>
  <si>
    <t>Enterobacter sp.</t>
  </si>
  <si>
    <t>Enterococcus avium</t>
  </si>
  <si>
    <t>Enterococcus avium (VRE)</t>
  </si>
  <si>
    <t>Enterococcus casseliflavus</t>
  </si>
  <si>
    <t>Enterococcus casseliflavus/gallinarum</t>
  </si>
  <si>
    <t>Enterococcus durans</t>
  </si>
  <si>
    <t>Enterococcus faecalis</t>
  </si>
  <si>
    <t>Enterococcus faecalis (VRE)</t>
  </si>
  <si>
    <t>Enterococcus faecium</t>
  </si>
  <si>
    <t>Enterococcus faecium (VRE)</t>
  </si>
  <si>
    <t>Enterococcus gallinarum</t>
  </si>
  <si>
    <t>Enterococcus hirae</t>
  </si>
  <si>
    <t>Enterococcus sp.</t>
  </si>
  <si>
    <t>Epidermophyton floccosum</t>
  </si>
  <si>
    <t>Epidermophyton sp.</t>
  </si>
  <si>
    <t>Erwinia</t>
  </si>
  <si>
    <t>Erysipelothrix</t>
  </si>
  <si>
    <t>Escherichia albertii</t>
  </si>
  <si>
    <t>Escherichia coli</t>
  </si>
  <si>
    <t>Escherichia coli ,enteroaggregative (EAEC)</t>
  </si>
  <si>
    <t>Escherichia coli ,enterohemorrhagic (EHEC)</t>
  </si>
  <si>
    <t>Escherichia coli ,enteroinvasive (EIEC)</t>
  </si>
  <si>
    <t>Escherichia coli ,enteropathogenic (EPEC)</t>
  </si>
  <si>
    <t>Escherichia coli ,enterotoxin-producing (ETEC)</t>
  </si>
  <si>
    <t>Escherichia coli ,pathogenic</t>
  </si>
  <si>
    <t>Escherichia hermannii</t>
  </si>
  <si>
    <t>Escherichia sp.</t>
  </si>
  <si>
    <t>Escherichia vulneris</t>
  </si>
  <si>
    <t>Eubacterium sp.</t>
  </si>
  <si>
    <t>Ewingella americana</t>
  </si>
  <si>
    <t>Ewingella sp.</t>
  </si>
  <si>
    <t>Fibrobacter</t>
  </si>
  <si>
    <t>Finegoldia magna</t>
  </si>
  <si>
    <t>Finegoldia sp.</t>
  </si>
  <si>
    <t>Flavimonas oryzihabitans</t>
  </si>
  <si>
    <t>Flavimonas sp.</t>
  </si>
  <si>
    <t>Flavobacterium sp.</t>
  </si>
  <si>
    <t>Fonsecaea pedrosoi</t>
  </si>
  <si>
    <t>Fonsecaea sp.</t>
  </si>
  <si>
    <t>Francisella sp.</t>
  </si>
  <si>
    <t>Francisella tularensis subsp. tularensis</t>
  </si>
  <si>
    <t>Fusarium solani</t>
  </si>
  <si>
    <t>Fusarium sp.</t>
  </si>
  <si>
    <t>Fusobacterium mortiferum</t>
  </si>
  <si>
    <t>Fusobacterium necrophorum subsp. necrophorum</t>
  </si>
  <si>
    <t>Fusobacterium nucleatum subsp. nucleatum</t>
  </si>
  <si>
    <t>Fusobacterium sp.</t>
  </si>
  <si>
    <t>Fusobacterium varium</t>
  </si>
  <si>
    <t>Gardnerella sp.</t>
  </si>
  <si>
    <t>Gardnerella vaginalis</t>
  </si>
  <si>
    <t>Gemella</t>
  </si>
  <si>
    <t>Giardia lamblia</t>
  </si>
  <si>
    <t>Giardia sp.</t>
  </si>
  <si>
    <t>Globicatella</t>
  </si>
  <si>
    <t>Gordonia</t>
  </si>
  <si>
    <t>Gram-negative bacilli</t>
  </si>
  <si>
    <t>Gram-negative cocci</t>
  </si>
  <si>
    <t>Gram-positive bacilli</t>
  </si>
  <si>
    <t>Gram-positive cocci</t>
  </si>
  <si>
    <t>Group C β-Streptococcus</t>
  </si>
  <si>
    <t>Group F β-Streptococcus</t>
  </si>
  <si>
    <t>Group G β-Streptococcus</t>
  </si>
  <si>
    <t>Haemophilus aphrophilus</t>
  </si>
  <si>
    <t>Haemophilus ducreyi</t>
  </si>
  <si>
    <t>Haemophilus haemoglobinophilus</t>
  </si>
  <si>
    <t>Haemophilus haemolyticus</t>
  </si>
  <si>
    <t>Haemophilus influenzae</t>
  </si>
  <si>
    <t>Haemophilus influenzae (beta-lactamase non-producing)</t>
  </si>
  <si>
    <t>Haemophilus influenzae (beta-lactamase producing)</t>
  </si>
  <si>
    <t>Haemophilus influenzae biotypeⅠ</t>
  </si>
  <si>
    <t>Haemophilus influenzae biotypeⅡ</t>
  </si>
  <si>
    <t>Haemophilus influenzae biotypeⅢ</t>
  </si>
  <si>
    <t>Haemophilus influenzae biotypeⅣ</t>
  </si>
  <si>
    <t>Haemophilus influenzae biotypeⅤ</t>
  </si>
  <si>
    <t>Haemophilus influenzae biotypeⅥ‐1</t>
  </si>
  <si>
    <t>Haemophilus influenzae biotypeⅥ‐2</t>
  </si>
  <si>
    <t>Haemophilus parahaemolyticus</t>
  </si>
  <si>
    <t>Haemophilus parainfluenzae</t>
  </si>
  <si>
    <t>Haemophilus paraphrophilus</t>
  </si>
  <si>
    <t>Haemophilus sp.</t>
  </si>
  <si>
    <t>Hafnia alvei</t>
  </si>
  <si>
    <t>Hafnia sp.</t>
  </si>
  <si>
    <t>Hallella</t>
  </si>
  <si>
    <t>Halococcus</t>
  </si>
  <si>
    <t>Helicobacter pylori</t>
  </si>
  <si>
    <t>Helicobacter sp.</t>
  </si>
  <si>
    <t>Histoplasma capsulatum</t>
  </si>
  <si>
    <t>Histoplasma sp.</t>
  </si>
  <si>
    <t>Isospora sp.</t>
  </si>
  <si>
    <t>Janthinobacterium</t>
  </si>
  <si>
    <t>Johnsonella</t>
  </si>
  <si>
    <t>Kingella kingae</t>
  </si>
  <si>
    <t>Kingella sp.</t>
  </si>
  <si>
    <t>Klebsiella oxytoca</t>
  </si>
  <si>
    <t>Klebsiella pneumoniae subsp. ozaenae</t>
  </si>
  <si>
    <t>Klebsiella pneumoniae subsp. pneumoniae</t>
  </si>
  <si>
    <t>Klebsiella pneumoniae subsp. rhinoscleromatis</t>
  </si>
  <si>
    <t>Klebsiella sp.</t>
  </si>
  <si>
    <t>Kluyvera ascorbata</t>
  </si>
  <si>
    <t>Kluyvera sp.</t>
  </si>
  <si>
    <t>Kocuria</t>
  </si>
  <si>
    <t>Kurthia</t>
  </si>
  <si>
    <t>Kytococcus</t>
  </si>
  <si>
    <t>Lactobacillus sp.</t>
  </si>
  <si>
    <t>Lactococcus lactis subsp. lactis</t>
  </si>
  <si>
    <t>Lactococcus sp.</t>
  </si>
  <si>
    <t>Lautropia</t>
  </si>
  <si>
    <t>Lawsonia</t>
  </si>
  <si>
    <t>Leclercia adecarboxylata</t>
  </si>
  <si>
    <t>Leclercia sp.</t>
  </si>
  <si>
    <t>Legionella pneumophila subsp. pneumophila</t>
  </si>
  <si>
    <t>Legionella sp.</t>
  </si>
  <si>
    <t>Leminorella</t>
  </si>
  <si>
    <t>Leptospira interrogans</t>
  </si>
  <si>
    <t>Leptospira sp.</t>
  </si>
  <si>
    <t>Leptotrichia buccalis</t>
  </si>
  <si>
    <t>Leuconostoc</t>
  </si>
  <si>
    <t>Listeria monocytogenes</t>
  </si>
  <si>
    <t>Listeria sp.</t>
  </si>
  <si>
    <t>Listonella</t>
  </si>
  <si>
    <t>Malassezia furfur</t>
  </si>
  <si>
    <t>Malassezia sp.</t>
  </si>
  <si>
    <t>Methylobacterium</t>
  </si>
  <si>
    <t>Micrococcus sp.</t>
  </si>
  <si>
    <t>Micromonas micros</t>
  </si>
  <si>
    <t>Microsporum canis</t>
  </si>
  <si>
    <t>Microsporum gypseum</t>
  </si>
  <si>
    <t>Microsporum sp.</t>
  </si>
  <si>
    <t>Mitsuokella</t>
  </si>
  <si>
    <t>Mobiluncus sp.</t>
  </si>
  <si>
    <t>Moellerella</t>
  </si>
  <si>
    <t>Moraxella (Branhamella) catarrhalis</t>
  </si>
  <si>
    <t>Moraxella (Branhamella) sp.</t>
  </si>
  <si>
    <t>Moraxella bovis</t>
  </si>
  <si>
    <t>Moraxella lacunata</t>
  </si>
  <si>
    <t>Moraxella osloensis</t>
  </si>
  <si>
    <t>Moraxella sp.</t>
  </si>
  <si>
    <t>Morganella morganii subsp. morganii</t>
  </si>
  <si>
    <t>Morganella sp.</t>
  </si>
  <si>
    <t>Mucor circinelloides</t>
  </si>
  <si>
    <t>Mucor sp.</t>
  </si>
  <si>
    <t>Mycobacterium abscessus</t>
  </si>
  <si>
    <t>Mycobacterium avium complex</t>
  </si>
  <si>
    <t>Mycobacterium avium subsp. avium</t>
  </si>
  <si>
    <t>Mycobacterium chelonae subsp. chelonae</t>
  </si>
  <si>
    <t>Mycobacterium fortuitum subsp. fortuitum</t>
  </si>
  <si>
    <t>Mycobacterium gordonae</t>
  </si>
  <si>
    <t>Mycobacterium intracellulare</t>
  </si>
  <si>
    <t>Mycobacterium kansasii</t>
  </si>
  <si>
    <t>Mycobacterium marinum</t>
  </si>
  <si>
    <t>Mycobacterium scrofulaceum</t>
  </si>
  <si>
    <t>Mycobacterium sp.</t>
  </si>
  <si>
    <t>Mycobacterium tuberculosis</t>
  </si>
  <si>
    <t>Mycobacterium tuberculosis complex</t>
  </si>
  <si>
    <t>Mycoplasma pneumoniae</t>
  </si>
  <si>
    <t>Mycoplasma sp.</t>
  </si>
  <si>
    <t>Myroides odoratus</t>
  </si>
  <si>
    <t>Myroides sp.</t>
  </si>
  <si>
    <t>Neisseria gonorrhoeae</t>
  </si>
  <si>
    <t>Neisseria gonorrhoeae(beta-lactamase non-producing)</t>
  </si>
  <si>
    <t>Neisseria gonorrhoeae(beta-lactamase producing)</t>
  </si>
  <si>
    <t>Neisseria meningitidis</t>
  </si>
  <si>
    <t>Neisseria sp.</t>
  </si>
  <si>
    <t>Nesterenkonia</t>
  </si>
  <si>
    <t>Nocardia asteroides</t>
  </si>
  <si>
    <t>Nocardia brasiliensis</t>
  </si>
  <si>
    <t>Nocardia sp.</t>
  </si>
  <si>
    <t>Nocardiopsis</t>
  </si>
  <si>
    <t>Obesumbacterium</t>
  </si>
  <si>
    <t>Ochrobactrum</t>
  </si>
  <si>
    <t>Oenococcus</t>
  </si>
  <si>
    <t>Oerskovia</t>
  </si>
  <si>
    <t>Oligella</t>
  </si>
  <si>
    <t>Orientia</t>
  </si>
  <si>
    <t>Other species (includes non-identifiable)</t>
  </si>
  <si>
    <t>Paenibacillus</t>
  </si>
  <si>
    <t>Pantoea agglomerans</t>
  </si>
  <si>
    <t>Pantoea sp.</t>
  </si>
  <si>
    <t>Paracoccidioides brasiliensis</t>
  </si>
  <si>
    <t>Paracoccidioides sp.</t>
  </si>
  <si>
    <t>Parvimonas sp.</t>
  </si>
  <si>
    <t>Pasteurella multocida subsp. multocida</t>
  </si>
  <si>
    <t>Pasteurella sp.</t>
  </si>
  <si>
    <t>Pediococcus</t>
  </si>
  <si>
    <t>Penicillium marneffei</t>
  </si>
  <si>
    <t>Penicillium sp.</t>
  </si>
  <si>
    <t>Peptococcus niger</t>
  </si>
  <si>
    <t>Peptococcus sp.</t>
  </si>
  <si>
    <t>Peptoniphilus asaccharolyticus</t>
  </si>
  <si>
    <t>Peptoniphilus sp.</t>
  </si>
  <si>
    <t>Peptostreptococcus anaerobius</t>
  </si>
  <si>
    <t>Peptostreptococcus sp.</t>
  </si>
  <si>
    <t>Photobacterium</t>
  </si>
  <si>
    <t>Photorhabdus</t>
  </si>
  <si>
    <t>Plesiomonas shigelloides</t>
  </si>
  <si>
    <t>Plesiomonas sp.</t>
  </si>
  <si>
    <t>Pneumocystis carinii</t>
  </si>
  <si>
    <t>Pneumocystis jirovecii</t>
  </si>
  <si>
    <t>Pneumocystis sp.</t>
  </si>
  <si>
    <t>Porphyromonas asaccharolytica</t>
  </si>
  <si>
    <t>Porphyromonas gingivalis</t>
  </si>
  <si>
    <t>Porphyromonas sp.</t>
  </si>
  <si>
    <t>Pragia</t>
  </si>
  <si>
    <t>Prevotella bivia</t>
  </si>
  <si>
    <t>Prevotella buccae</t>
  </si>
  <si>
    <t>Prevotella corporis</t>
  </si>
  <si>
    <t>Prevotella denticola</t>
  </si>
  <si>
    <t>Prevotella intermedia</t>
  </si>
  <si>
    <t>Prevotella loescheii</t>
  </si>
  <si>
    <t>Prevotella melaninogenica</t>
  </si>
  <si>
    <t>Prevotella oralis</t>
  </si>
  <si>
    <t>Prevotella ruminicola subsp. ruminicola</t>
  </si>
  <si>
    <t>Prevotella sp.</t>
  </si>
  <si>
    <t>Propionibacterium acnes</t>
  </si>
  <si>
    <t>Propionibacterium sp.</t>
  </si>
  <si>
    <t>Propioniferax</t>
  </si>
  <si>
    <t>Proteus mirabilis</t>
  </si>
  <si>
    <t>Proteus penneri</t>
  </si>
  <si>
    <t>Proteus sp.</t>
  </si>
  <si>
    <t>Proteus vulgaris</t>
  </si>
  <si>
    <t>Providencia alcalifaciens</t>
  </si>
  <si>
    <t>Providencia rettgeri</t>
  </si>
  <si>
    <t>Providencia sp.</t>
  </si>
  <si>
    <t>Providencia stuartii</t>
  </si>
  <si>
    <t>Pseudomonas aeruginosa</t>
  </si>
  <si>
    <t>Pseudomonas fluorescens</t>
  </si>
  <si>
    <t>Pseudomonas putida</t>
  </si>
  <si>
    <t>Pseudomonas sp.</t>
  </si>
  <si>
    <t>Psychrobacter</t>
  </si>
  <si>
    <t>Rahnella aquatilis</t>
  </si>
  <si>
    <t>Rahnella sp.</t>
  </si>
  <si>
    <t>Ralstonia pickettii</t>
  </si>
  <si>
    <t>Rhizobium radiobacter</t>
  </si>
  <si>
    <t>Rhizobium sp.</t>
  </si>
  <si>
    <t>Rhizomucor pusillus</t>
  </si>
  <si>
    <t>Rhizomucor sp.</t>
  </si>
  <si>
    <t>Rhizopus oryzae</t>
  </si>
  <si>
    <t>Rhizopus sp.</t>
  </si>
  <si>
    <t>Rhodococcus</t>
  </si>
  <si>
    <t>Rhodotorula rubra</t>
  </si>
  <si>
    <t>Rhodotorula sp.</t>
  </si>
  <si>
    <t>Rickettsia sp.</t>
  </si>
  <si>
    <t>Riemerella</t>
  </si>
  <si>
    <t>Rikenella</t>
  </si>
  <si>
    <t>Rothia</t>
  </si>
  <si>
    <t>Ruminococcus productus</t>
  </si>
  <si>
    <t>Ruminococcus sp.</t>
  </si>
  <si>
    <t>Saccharomyces cerevisiae</t>
  </si>
  <si>
    <t>Saccharomyces sp.</t>
  </si>
  <si>
    <t>Salmonella Enteritidis</t>
  </si>
  <si>
    <t>Salmonella Paratyphi A</t>
  </si>
  <si>
    <t>Salmonella Typhi</t>
  </si>
  <si>
    <t>Salmonella Typhimurium</t>
  </si>
  <si>
    <t>Salmonella arizonae</t>
  </si>
  <si>
    <t>Salmonella sp.</t>
  </si>
  <si>
    <t>Salmonella sp. (other than S. Typhi, S. Paratyphi A)</t>
  </si>
  <si>
    <t>Sanguibacter</t>
  </si>
  <si>
    <t>Sebaldella</t>
  </si>
  <si>
    <t>Selenomonas</t>
  </si>
  <si>
    <t>Serpulina</t>
  </si>
  <si>
    <t>Serratia liquefaciens</t>
  </si>
  <si>
    <t>Serratia marcescens subsp. marcescens</t>
  </si>
  <si>
    <t>Serratia odorifera</t>
  </si>
  <si>
    <t>Serratia plymuthica</t>
  </si>
  <si>
    <t>Serratia rubidaea</t>
  </si>
  <si>
    <t>Serratia sp.</t>
  </si>
  <si>
    <t>Shewanella putrefaciens</t>
  </si>
  <si>
    <t>Shewanella sp.</t>
  </si>
  <si>
    <t>Shigella boydii</t>
  </si>
  <si>
    <t>Shigella dysenteriae</t>
  </si>
  <si>
    <t>Shigella flexneri</t>
  </si>
  <si>
    <t>Shigella sonnei</t>
  </si>
  <si>
    <t>Shigella sp.</t>
  </si>
  <si>
    <t>Sphingobacterium multivorum</t>
  </si>
  <si>
    <t>Sphingobacterium sp.</t>
  </si>
  <si>
    <t>Sphingobacterium spiritivorum</t>
  </si>
  <si>
    <t>Sphingomonas</t>
  </si>
  <si>
    <t>Spiroplasma</t>
  </si>
  <si>
    <t>Sporothrix schenckii</t>
  </si>
  <si>
    <t>Sporothrix sp.</t>
  </si>
  <si>
    <t>Staphylococcus ,coagulase negative (CNS)</t>
  </si>
  <si>
    <t>Staphylococcus aureus (MRSA)</t>
  </si>
  <si>
    <t>Staphylococcus aureus (MSSA)</t>
  </si>
  <si>
    <t>Staphylococcus aureus (MSSA) (beta-lactamase non-producing)</t>
  </si>
  <si>
    <t>Staphylococcus aureus (MSSA) (beta-lactamase producing)</t>
  </si>
  <si>
    <t>Staphylococcus aureus subsp. aureus</t>
  </si>
  <si>
    <t>Staphylococcus auricularis</t>
  </si>
  <si>
    <t>Staphylococcus capitis subsp. capitis</t>
  </si>
  <si>
    <t>Staphylococcus cohnii subsp. cohnii</t>
  </si>
  <si>
    <t>Staphylococcus epidermidis</t>
  </si>
  <si>
    <t>Staphylococcus haemolyticus</t>
  </si>
  <si>
    <t>Staphylococcus hominis subsp. hominis</t>
  </si>
  <si>
    <t>Staphylococcus hyicus</t>
  </si>
  <si>
    <t>Staphylococcus intermedius</t>
  </si>
  <si>
    <t>Staphylococcus lentus</t>
  </si>
  <si>
    <t>Staphylococcus lugdunensis</t>
  </si>
  <si>
    <t>Staphylococcus pseudintermedius</t>
  </si>
  <si>
    <t>Staphylococcus saprophyticus subsp. saprophyticus</t>
  </si>
  <si>
    <t>Staphylococcus schleiferi</t>
  </si>
  <si>
    <t>Staphylococcus sciuri subsp. sciuri</t>
  </si>
  <si>
    <t>Staphylococcus simulans</t>
  </si>
  <si>
    <t>Staphylococcus sp.</t>
  </si>
  <si>
    <t>Staphylococcus warneri</t>
  </si>
  <si>
    <t>Staphylococcus xylosus</t>
  </si>
  <si>
    <t>Stenotrophomonas maltophilia</t>
  </si>
  <si>
    <t>Stenotrophomonas sp.</t>
  </si>
  <si>
    <t>Streptobacillus</t>
  </si>
  <si>
    <t>Streptococcus acidominimus</t>
  </si>
  <si>
    <t>Streptococcus agalactiae</t>
  </si>
  <si>
    <t>Streptococcus anginosus</t>
  </si>
  <si>
    <t>Streptococcus bovis</t>
  </si>
  <si>
    <t>Streptococcus constellatus subsp. constellatus</t>
  </si>
  <si>
    <t>Streptococcus dysgalactiae subsp.equisimilis</t>
  </si>
  <si>
    <t>Streptococcus equinus</t>
  </si>
  <si>
    <t>Streptococcus intermedius</t>
  </si>
  <si>
    <t>Streptococcus mitis</t>
  </si>
  <si>
    <t>Streptococcus mutans</t>
  </si>
  <si>
    <t>Streptococcus pneumoniae</t>
  </si>
  <si>
    <t>Streptococcus pyogenes</t>
  </si>
  <si>
    <t>Streptococcus salivarius</t>
  </si>
  <si>
    <t>Streptococcus sanguis</t>
  </si>
  <si>
    <t>Streptococcus sp.</t>
  </si>
  <si>
    <t>Streptococcus suis</t>
  </si>
  <si>
    <t>Streptococcus uberis</t>
  </si>
  <si>
    <t>Streptomyces</t>
  </si>
  <si>
    <t>Succinivibrio</t>
  </si>
  <si>
    <t>Suttonella</t>
  </si>
  <si>
    <t>Tatumella ptyseos</t>
  </si>
  <si>
    <t>Tatumella sp.</t>
  </si>
  <si>
    <t>Taylorella</t>
  </si>
  <si>
    <t>Tetragenococcus</t>
  </si>
  <si>
    <t>Thermoactinomyces</t>
  </si>
  <si>
    <t>Tissierella</t>
  </si>
  <si>
    <t>Toxoplasma gondii</t>
  </si>
  <si>
    <t>Toxoplasma sp.</t>
  </si>
  <si>
    <t>Trabulsiella</t>
  </si>
  <si>
    <t>Treponema pallidum</t>
  </si>
  <si>
    <t>Treponema sp.</t>
  </si>
  <si>
    <t>Trichomonas sp.</t>
  </si>
  <si>
    <t>Trichomonas vaginalis</t>
  </si>
  <si>
    <t>Trichophyton mentagrophytes</t>
  </si>
  <si>
    <t>Trichophyton rubrum</t>
  </si>
  <si>
    <t>Trichophyton sp.</t>
  </si>
  <si>
    <t>Trichophyton tonsurans</t>
  </si>
  <si>
    <t>Trichosporon asahii</t>
  </si>
  <si>
    <t>Trichosporon capitatum</t>
  </si>
  <si>
    <t>Trichosporon mucoides</t>
  </si>
  <si>
    <t>Trichosporon sp.</t>
  </si>
  <si>
    <t>Tsukamurella</t>
  </si>
  <si>
    <t>Turicella</t>
  </si>
  <si>
    <t>Ureaplasma sp.</t>
  </si>
  <si>
    <t>Ureaplasma urealyticum</t>
  </si>
  <si>
    <t>Vagococcus</t>
  </si>
  <si>
    <t>Veillonella parvula</t>
  </si>
  <si>
    <t>Veillonella sp.</t>
  </si>
  <si>
    <t>Vibrio alginolyticus</t>
  </si>
  <si>
    <t>Vibrio cholerae O-1</t>
  </si>
  <si>
    <t>Vibrio cholerae O-139</t>
  </si>
  <si>
    <t>Vibrio cholerae non O-1</t>
  </si>
  <si>
    <t>Vibrio fluvialis</t>
  </si>
  <si>
    <t>Vibrio furnissii</t>
  </si>
  <si>
    <t>Vibrio mimicus</t>
  </si>
  <si>
    <t>Vibrio parahaemolyticus</t>
  </si>
  <si>
    <t>Vibrio sp.</t>
  </si>
  <si>
    <t>Vibrio vulnificus</t>
  </si>
  <si>
    <t>Weeksella</t>
  </si>
  <si>
    <t>Weissella</t>
  </si>
  <si>
    <t>Wolinella</t>
  </si>
  <si>
    <t>Xenorhabdus</t>
  </si>
  <si>
    <t>Yeasts</t>
  </si>
  <si>
    <t>Yersinia enterocolitica subsp. enterocolitica</t>
  </si>
  <si>
    <t>Yersinia pestis</t>
  </si>
  <si>
    <t>Yersinia pseudotuberculosis</t>
  </si>
  <si>
    <t>Yersinia sp.</t>
  </si>
  <si>
    <t>Yokenella</t>
  </si>
  <si>
    <t>α-Streptococcus</t>
  </si>
  <si>
    <t>β-Streptococcus</t>
  </si>
  <si>
    <t>γ-Streptococcus</t>
  </si>
  <si>
    <t>Age</t>
    <phoneticPr fontId="1"/>
  </si>
  <si>
    <t>YYYY: year, MM: month, DD: day</t>
    <phoneticPr fontId="1"/>
  </si>
  <si>
    <t>Admission Date</t>
    <phoneticPr fontId="1"/>
  </si>
  <si>
    <t>Escherichia albertii:2013</t>
  </si>
  <si>
    <t>Staphylococcus lugdunensis:1326</t>
  </si>
  <si>
    <t>Staphylococcus pseudintermedius:1327</t>
  </si>
  <si>
    <t>Staphylococcus schleiferi:1328</t>
  </si>
  <si>
    <t>Streptococcus dysgalactiae subsp.equisimilis:1153</t>
  </si>
  <si>
    <t>Streptococcus suis:1152</t>
  </si>
  <si>
    <t>:</t>
  </si>
  <si>
    <t>* If an input file you specified has more than two sheets, this tool reads the first sheet.</t>
    <phoneticPr fontId="1"/>
  </si>
  <si>
    <t>* After specifying the input file, please push the following buttons in order.</t>
    <phoneticPr fontId="1"/>
  </si>
  <si>
    <t>* If you would like to move this tool to another folder, please also move "Mapping_Data" folder created by this tool together.</t>
  </si>
  <si>
    <t>Create drop-down lists in "Format" sheet by reading items in the input file.</t>
    <phoneticPr fontId="1"/>
  </si>
  <si>
    <t>If you previously did mapping by using the drop-down lists in "Format" sheet, it is restored here.</t>
    <phoneticPr fontId="1"/>
  </si>
  <si>
    <t>"Mapping_Data" folder is written to store mapping you did in the "Format" sheet.</t>
    <phoneticPr fontId="1"/>
  </si>
  <si>
    <t xml:space="preserve">Create drop-down lists in other sheets (Hospital, Bacterium, Antimicrobial, Department, Specimen) </t>
  </si>
  <si>
    <t>based on the mapping stored in the "Mapping_Data" folder.</t>
    <phoneticPr fontId="1"/>
  </si>
  <si>
    <t>"Mapping_Data" folder is written again to store mapping you did in the other sheets.</t>
    <phoneticPr fontId="1"/>
  </si>
  <si>
    <t>Encrypt IDs</t>
    <phoneticPr fontId="1"/>
  </si>
  <si>
    <t>An ASIARS-Net format text file will be created.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</si>
</sst>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2"/>
      <scheme val="minor"/>
    </font>
    <font>
      <b/>
      <sz val="24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u/>
      <sz val="11"/>
      <color theme="10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0" borderId="0">
      <alignment vertical="center"/>
    </xf>
    <xf numFmtId="0" fontId="5" fillId="0" borderId="0">
      <alignment vertical="center"/>
    </xf>
    <xf numFmtId="0" fontId="6" fillId="0" borderId="0"/>
    <xf numFmtId="0" fontId="6" fillId="0" borderId="0"/>
    <xf numFmtId="0" fontId="7" fillId="0" borderId="0" applyNumberFormat="0" applyFill="0" applyBorder="0" applyAlignment="0" applyProtection="0"/>
    <xf numFmtId="38" fontId="8" fillId="0" borderId="0" applyFont="0" applyFill="0" applyBorder="0" applyAlignment="0" applyProtection="0">
      <alignment vertical="center"/>
    </xf>
  </cellStyleXfs>
  <cellXfs count="55">
    <xf numFmtId="0" fontId="0" fillId="0" borderId="0" xfId="0"/>
    <xf numFmtId="0" fontId="0" fillId="0" borderId="1" xfId="0" applyBorder="1" applyAlignment="1">
      <alignment vertical="center"/>
    </xf>
    <xf numFmtId="0" fontId="0" fillId="0" borderId="1" xfId="0" applyBorder="1"/>
    <xf numFmtId="0" fontId="3" fillId="0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vertical="center" wrapText="1"/>
    </xf>
    <xf numFmtId="0" fontId="3" fillId="0" borderId="1" xfId="1" applyFont="1" applyBorder="1" applyAlignment="1">
      <alignment vertical="center" wrapText="1"/>
    </xf>
    <xf numFmtId="0" fontId="3" fillId="3" borderId="1" xfId="1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/>
    </xf>
    <xf numFmtId="0" fontId="3" fillId="4" borderId="1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/>
    <xf numFmtId="0" fontId="3" fillId="4" borderId="1" xfId="0" applyFont="1" applyFill="1" applyBorder="1" applyAlignment="1">
      <alignment horizontal="left"/>
    </xf>
    <xf numFmtId="0" fontId="9" fillId="0" borderId="0" xfId="0" applyFont="1" applyAlignment="1">
      <alignment vertical="center"/>
    </xf>
    <xf numFmtId="0" fontId="10" fillId="0" borderId="0" xfId="0" applyFont="1"/>
    <xf numFmtId="0" fontId="10" fillId="0" borderId="1" xfId="2" applyFont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vertical="center"/>
    </xf>
    <xf numFmtId="0" fontId="10" fillId="0" borderId="0" xfId="2" applyFont="1" applyProtection="1">
      <alignment vertical="center"/>
    </xf>
    <xf numFmtId="0" fontId="10" fillId="0" borderId="1" xfId="2" applyFont="1" applyBorder="1" applyProtection="1">
      <alignment vertical="center"/>
    </xf>
    <xf numFmtId="49" fontId="10" fillId="7" borderId="1" xfId="2" applyNumberFormat="1" applyFont="1" applyFill="1" applyBorder="1" applyProtection="1">
      <alignment vertical="center"/>
      <protection locked="0"/>
    </xf>
    <xf numFmtId="0" fontId="10" fillId="2" borderId="1" xfId="2" applyFont="1" applyFill="1" applyBorder="1" applyProtection="1">
      <alignment vertical="center"/>
      <protection locked="0"/>
    </xf>
    <xf numFmtId="0" fontId="10" fillId="0" borderId="1" xfId="0" applyFont="1" applyBorder="1" applyAlignment="1" applyProtection="1">
      <alignment vertical="center"/>
    </xf>
    <xf numFmtId="0" fontId="11" fillId="0" borderId="1" xfId="2" applyFont="1" applyBorder="1" applyProtection="1">
      <alignment vertical="center"/>
    </xf>
    <xf numFmtId="0" fontId="10" fillId="7" borderId="1" xfId="2" applyFont="1" applyFill="1" applyBorder="1" applyProtection="1">
      <alignment vertical="center"/>
      <protection locked="0"/>
    </xf>
    <xf numFmtId="0" fontId="10" fillId="0" borderId="1" xfId="0" applyFont="1" applyBorder="1" applyAlignment="1">
      <alignment horizontal="center" vertical="center"/>
    </xf>
    <xf numFmtId="0" fontId="10" fillId="2" borderId="1" xfId="0" applyFont="1" applyFill="1" applyBorder="1" applyProtection="1">
      <protection locked="0"/>
    </xf>
    <xf numFmtId="0" fontId="11" fillId="0" borderId="1" xfId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0" fillId="2" borderId="1" xfId="0" applyFont="1" applyFill="1" applyBorder="1" applyAlignment="1" applyProtection="1">
      <alignment vertical="center"/>
      <protection locked="0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0" borderId="1" xfId="3" applyFont="1" applyFill="1" applyBorder="1" applyAlignment="1">
      <alignment horizontal="center"/>
    </xf>
    <xf numFmtId="0" fontId="10" fillId="0" borderId="0" xfId="2" applyFont="1">
      <alignment vertical="center"/>
    </xf>
    <xf numFmtId="0" fontId="11" fillId="0" borderId="1" xfId="4" applyFont="1" applyFill="1" applyBorder="1" applyAlignment="1">
      <alignment horizontal="center" vertical="center" wrapText="1"/>
    </xf>
    <xf numFmtId="0" fontId="11" fillId="0" borderId="1" xfId="4" applyFont="1" applyFill="1" applyBorder="1" applyAlignment="1">
      <alignment vertical="center"/>
    </xf>
    <xf numFmtId="0" fontId="11" fillId="0" borderId="1" xfId="4" applyFont="1" applyFill="1" applyBorder="1" applyAlignment="1">
      <alignment vertical="center" wrapText="1"/>
    </xf>
    <xf numFmtId="0" fontId="11" fillId="0" borderId="1" xfId="4" applyFont="1" applyFill="1" applyBorder="1" applyAlignment="1">
      <alignment horizontal="left" vertical="center"/>
    </xf>
    <xf numFmtId="0" fontId="11" fillId="0" borderId="1" xfId="2" applyFont="1" applyBorder="1" applyAlignment="1">
      <alignment vertical="center"/>
    </xf>
    <xf numFmtId="0" fontId="11" fillId="0" borderId="0" xfId="2" applyFont="1" applyAlignment="1">
      <alignment vertical="center"/>
    </xf>
    <xf numFmtId="0" fontId="10" fillId="2" borderId="1" xfId="0" applyFont="1" applyFill="1" applyBorder="1" applyAlignment="1" applyProtection="1">
      <alignment horizontal="center"/>
      <protection locked="0"/>
    </xf>
    <xf numFmtId="0" fontId="10" fillId="0" borderId="1" xfId="0" applyFont="1" applyBorder="1" applyAlignment="1">
      <alignment horizontal="center" vertical="center" wrapText="1"/>
    </xf>
    <xf numFmtId="0" fontId="10" fillId="7" borderId="1" xfId="2" applyFont="1" applyFill="1" applyBorder="1" applyAlignment="1" applyProtection="1">
      <alignment horizontal="center" vertical="center"/>
    </xf>
    <xf numFmtId="0" fontId="10" fillId="0" borderId="1" xfId="2" applyFont="1" applyBorder="1" applyProtection="1">
      <alignment vertical="center"/>
      <protection locked="0"/>
    </xf>
    <xf numFmtId="49" fontId="10" fillId="0" borderId="1" xfId="0" applyNumberFormat="1" applyFont="1" applyBorder="1" applyAlignment="1">
      <alignment vertical="center"/>
    </xf>
    <xf numFmtId="49" fontId="10" fillId="0" borderId="1" xfId="0" applyNumberFormat="1" applyFont="1" applyBorder="1"/>
    <xf numFmtId="49" fontId="11" fillId="0" borderId="1" xfId="0" applyNumberFormat="1" applyFont="1" applyBorder="1" applyAlignment="1"/>
    <xf numFmtId="49" fontId="11" fillId="0" borderId="1" xfId="0" applyNumberFormat="1" applyFont="1" applyBorder="1" applyAlignment="1">
      <alignment horizontal="left"/>
    </xf>
    <xf numFmtId="49" fontId="10" fillId="0" borderId="1" xfId="0" applyNumberFormat="1" applyFont="1" applyBorder="1" applyAlignment="1">
      <alignment horizontal="center" vertical="center"/>
    </xf>
    <xf numFmtId="49" fontId="0" fillId="0" borderId="0" xfId="0" applyNumberFormat="1"/>
    <xf numFmtId="0" fontId="3" fillId="3" borderId="0" xfId="1" applyFont="1" applyFill="1" applyBorder="1" applyAlignment="1">
      <alignment vertical="center" wrapText="1"/>
    </xf>
    <xf numFmtId="38" fontId="11" fillId="5" borderId="4" xfId="6" applyFont="1" applyFill="1" applyBorder="1" applyAlignment="1" applyProtection="1">
      <alignment horizontal="center" vertical="center"/>
      <protection locked="0"/>
    </xf>
    <xf numFmtId="38" fontId="11" fillId="5" borderId="5" xfId="6" applyFont="1" applyFill="1" applyBorder="1" applyAlignment="1" applyProtection="1">
      <alignment horizontal="center" vertical="center"/>
      <protection locked="0"/>
    </xf>
    <xf numFmtId="0" fontId="12" fillId="6" borderId="6" xfId="5" applyFont="1" applyFill="1" applyBorder="1" applyAlignment="1" applyProtection="1">
      <alignment horizontal="left"/>
      <protection locked="0"/>
    </xf>
    <xf numFmtId="0" fontId="11" fillId="6" borderId="7" xfId="0" applyFont="1" applyFill="1" applyBorder="1" applyAlignment="1" applyProtection="1">
      <alignment horizontal="left"/>
      <protection locked="0"/>
    </xf>
    <xf numFmtId="0" fontId="11" fillId="6" borderId="8" xfId="0" applyFont="1" applyFill="1" applyBorder="1" applyAlignment="1" applyProtection="1">
      <alignment horizontal="left"/>
      <protection locked="0"/>
    </xf>
    <xf numFmtId="0" fontId="11" fillId="0" borderId="2" xfId="3" applyFont="1" applyFill="1" applyBorder="1" applyAlignment="1">
      <alignment horizontal="center"/>
    </xf>
    <xf numFmtId="0" fontId="11" fillId="0" borderId="3" xfId="3" applyFont="1" applyFill="1" applyBorder="1" applyAlignment="1">
      <alignment horizontal="center"/>
    </xf>
  </cellXfs>
  <cellStyles count="7">
    <cellStyle name="ハイパーリンク" xfId="5" builtinId="8"/>
    <cellStyle name="桁区切り" xfId="6" builtinId="6"/>
    <cellStyle name="標準" xfId="0" builtinId="0"/>
    <cellStyle name="標準 2" xfId="1" xr:uid="{00000000-0005-0000-0000-000003000000}"/>
    <cellStyle name="標準 3" xfId="2" xr:uid="{00000000-0005-0000-0000-000004000000}"/>
    <cellStyle name="標準_Ver3" xfId="3" xr:uid="{00000000-0005-0000-0000-000005000000}"/>
    <cellStyle name="標準_データ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381000</xdr:rowOff>
        </xdr:from>
        <xdr:to>
          <xdr:col>10</xdr:col>
          <xdr:colOff>676275</xdr:colOff>
          <xdr:row>2</xdr:row>
          <xdr:rowOff>9525</xdr:rowOff>
        </xdr:to>
        <xdr:sp macro="" textlink="">
          <xdr:nvSpPr>
            <xdr:cNvPr id="13315" name="cmdReferenc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8</xdr:row>
          <xdr:rowOff>0</xdr:rowOff>
        </xdr:from>
        <xdr:to>
          <xdr:col>5</xdr:col>
          <xdr:colOff>600075</xdr:colOff>
          <xdr:row>10</xdr:row>
          <xdr:rowOff>0</xdr:rowOff>
        </xdr:to>
        <xdr:sp macro="" textlink="">
          <xdr:nvSpPr>
            <xdr:cNvPr id="13316" name="cmdMappingFormatExpand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11</xdr:row>
          <xdr:rowOff>0</xdr:rowOff>
        </xdr:from>
        <xdr:to>
          <xdr:col>5</xdr:col>
          <xdr:colOff>600075</xdr:colOff>
          <xdr:row>13</xdr:row>
          <xdr:rowOff>0</xdr:rowOff>
        </xdr:to>
        <xdr:sp macro="" textlink="">
          <xdr:nvSpPr>
            <xdr:cNvPr id="13318" name="cmdMappngFormatExport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14</xdr:row>
          <xdr:rowOff>19050</xdr:rowOff>
        </xdr:from>
        <xdr:to>
          <xdr:col>5</xdr:col>
          <xdr:colOff>600075</xdr:colOff>
          <xdr:row>16</xdr:row>
          <xdr:rowOff>0</xdr:rowOff>
        </xdr:to>
        <xdr:sp macro="" textlink="">
          <xdr:nvSpPr>
            <xdr:cNvPr id="13319" name="cmdMappingExpand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17</xdr:row>
          <xdr:rowOff>0</xdr:rowOff>
        </xdr:from>
        <xdr:to>
          <xdr:col>5</xdr:col>
          <xdr:colOff>600075</xdr:colOff>
          <xdr:row>19</xdr:row>
          <xdr:rowOff>0</xdr:rowOff>
        </xdr:to>
        <xdr:sp macro="" textlink="">
          <xdr:nvSpPr>
            <xdr:cNvPr id="13320" name="cmdMappingExport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20</xdr:row>
          <xdr:rowOff>0</xdr:rowOff>
        </xdr:from>
        <xdr:to>
          <xdr:col>5</xdr:col>
          <xdr:colOff>600075</xdr:colOff>
          <xdr:row>22</xdr:row>
          <xdr:rowOff>9525</xdr:rowOff>
        </xdr:to>
        <xdr:sp macro="" textlink="">
          <xdr:nvSpPr>
            <xdr:cNvPr id="13323" name="cmdFormatChange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266698</xdr:colOff>
      <xdr:row>25</xdr:row>
      <xdr:rowOff>0</xdr:rowOff>
    </xdr:from>
    <xdr:to>
      <xdr:col>4</xdr:col>
      <xdr:colOff>419100</xdr:colOff>
      <xdr:row>26</xdr:row>
      <xdr:rowOff>161926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6698" y="4286250"/>
          <a:ext cx="6410327" cy="33337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kumimoji="1" lang="en-US" altLang="ja-JP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※If you don't have ID to identify a specimen, please select "-" in the drop-down list next to "Specimen ID".</a:t>
          </a:r>
          <a:endParaRPr lang="ja-JP" altLang="ja-JP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5</xdr:col>
      <xdr:colOff>47625</xdr:colOff>
      <xdr:row>5</xdr:row>
      <xdr:rowOff>95251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/>
        </xdr:cNvSpPr>
      </xdr:nvSpPr>
      <xdr:spPr>
        <a:xfrm>
          <a:off x="2619375" y="476250"/>
          <a:ext cx="1419225" cy="8096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1:Outpatient</a:t>
          </a:r>
          <a:b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</a:br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2:Inpatient</a:t>
          </a:r>
        </a:p>
        <a:p>
          <a:pPr algn="l"/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3:Unknown</a:t>
          </a:r>
          <a:endParaRPr kumimoji="1"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</xdr:colOff>
      <xdr:row>37</xdr:row>
      <xdr:rowOff>11206</xdr:rowOff>
    </xdr:from>
    <xdr:to>
      <xdr:col>9</xdr:col>
      <xdr:colOff>515471</xdr:colOff>
      <xdr:row>44</xdr:row>
      <xdr:rowOff>0</xdr:rowOff>
    </xdr:to>
    <xdr:sp macro="" textlink="">
      <xdr:nvSpPr>
        <xdr:cNvPr id="13" name="角丸四角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6678707" y="8931088"/>
          <a:ext cx="3249705" cy="163605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Antimicrobial</a:t>
          </a:r>
          <a:r>
            <a:rPr kumimoji="1" lang="ja-JP" altLang="en-US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 </a:t>
          </a:r>
          <a:r>
            <a:rPr kumimoji="1" lang="en-US" altLang="ja-JP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Mapping</a:t>
          </a:r>
          <a:r>
            <a:rPr kumimoji="1" lang="ja-JP" altLang="en-US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」を設定した場合、「</a:t>
          </a:r>
          <a:r>
            <a:rPr kumimoji="1" lang="en-US" altLang="ja-JP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Susceptibility Mapping</a:t>
          </a:r>
          <a:r>
            <a:rPr kumimoji="1" lang="ja-JP" altLang="en-US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」及び「</a:t>
          </a:r>
          <a:r>
            <a:rPr kumimoji="1" lang="en-US" altLang="ja-JP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MIC Value/Zone Diameter</a:t>
          </a:r>
          <a:r>
            <a:rPr kumimoji="1" lang="ja-JP" altLang="en-US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」も設定してください。また、「</a:t>
          </a:r>
          <a:r>
            <a:rPr kumimoji="1" lang="en-US" altLang="ja-JP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Antimicrobial Mapping</a:t>
          </a:r>
          <a:r>
            <a:rPr kumimoji="1" lang="ja-JP" altLang="en-US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」を</a:t>
          </a:r>
          <a:r>
            <a:rPr kumimoji="1" lang="en-US" altLang="ja-JP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[-]</a:t>
          </a:r>
          <a:r>
            <a:rPr kumimoji="1" lang="ja-JP" altLang="en-US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で設定した場合は、「</a:t>
          </a:r>
          <a:r>
            <a:rPr kumimoji="1" lang="en-US" altLang="ja-JP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Susceptibility Mapping</a:t>
          </a:r>
          <a:r>
            <a:rPr kumimoji="1" lang="ja-JP" altLang="en-US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」及び「</a:t>
          </a:r>
          <a:r>
            <a:rPr kumimoji="1" lang="en-US" altLang="ja-JP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MIC Value/Zone Diameter</a:t>
          </a:r>
          <a:r>
            <a:rPr kumimoji="1" lang="ja-JP" altLang="en-US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」も</a:t>
          </a:r>
          <a:r>
            <a:rPr kumimoji="1" lang="en-US" altLang="ja-JP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[-]</a:t>
          </a:r>
          <a:r>
            <a:rPr kumimoji="1" lang="ja-JP" altLang="en-US" sz="11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で設定してください。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16</xdr:col>
          <xdr:colOff>352425</xdr:colOff>
          <xdr:row>35</xdr:row>
          <xdr:rowOff>143996</xdr:rowOff>
        </xdr:to>
        <xdr:pic>
          <xdr:nvPicPr>
            <xdr:cNvPr id="3" name="図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1]Susceptibility!$A$1:$F$32" spid="_x0000_s163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678706" y="515471"/>
              <a:ext cx="7871572" cy="8077760"/>
            </a:xfrm>
            <a:prstGeom prst="rect">
              <a:avLst/>
            </a:prstGeom>
            <a:solidFill>
              <a:schemeClr val="bg1"/>
            </a:solidFill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8023;&#22806;&#12484;&#12540;&#12523;/Excel%20to%20JAN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ormat"/>
      <sheetName val="Hospital"/>
      <sheetName val="puldata_Format"/>
      <sheetName val="puldata_Bacterium"/>
      <sheetName val="Bacterium"/>
      <sheetName val="Antimicrobial"/>
      <sheetName val="puldata_Antimicrobial"/>
      <sheetName val="Department"/>
      <sheetName val="puldata_Department"/>
      <sheetName val="Specimen"/>
      <sheetName val="puldata_Speciem"/>
      <sheetName val="Susceptibility"/>
      <sheetName val="Se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Menu"/>
  <dimension ref="A1:I21"/>
  <sheetViews>
    <sheetView showGridLines="0" tabSelected="1" zoomScaleNormal="100" workbookViewId="0">
      <selection activeCell="D27" sqref="D27"/>
    </sheetView>
  </sheetViews>
  <sheetFormatPr defaultRowHeight="13.5"/>
  <cols>
    <col min="1" max="16384" width="9" style="13"/>
  </cols>
  <sheetData>
    <row r="1" spans="1:9" ht="29.25" thickBot="1">
      <c r="A1" s="12" t="s">
        <v>191</v>
      </c>
    </row>
    <row r="2" spans="1:9" ht="36.75" customHeight="1" thickBot="1">
      <c r="B2" s="48" t="s">
        <v>151</v>
      </c>
      <c r="C2" s="49"/>
      <c r="D2" s="50"/>
      <c r="E2" s="51"/>
      <c r="F2" s="51"/>
      <c r="G2" s="51"/>
      <c r="H2" s="51"/>
      <c r="I2" s="52"/>
    </row>
    <row r="4" spans="1:9">
      <c r="B4" s="13" t="s">
        <v>1455</v>
      </c>
    </row>
    <row r="5" spans="1:9">
      <c r="B5" s="13" t="s">
        <v>1456</v>
      </c>
    </row>
    <row r="6" spans="1:9">
      <c r="B6" s="13" t="s">
        <v>1457</v>
      </c>
    </row>
    <row r="9" spans="1:9">
      <c r="G9" s="13" t="s">
        <v>1458</v>
      </c>
    </row>
    <row r="10" spans="1:9">
      <c r="G10" s="13" t="s">
        <v>1459</v>
      </c>
    </row>
    <row r="12" spans="1:9">
      <c r="G12" s="13" t="s">
        <v>1460</v>
      </c>
    </row>
    <row r="15" spans="1:9">
      <c r="G15" s="13" t="s">
        <v>1461</v>
      </c>
    </row>
    <row r="16" spans="1:9">
      <c r="G16" s="13" t="s">
        <v>1462</v>
      </c>
    </row>
    <row r="18" spans="7:7">
      <c r="G18" s="13" t="s">
        <v>1463</v>
      </c>
    </row>
    <row r="21" spans="7:7">
      <c r="G21" s="13" t="s">
        <v>1465</v>
      </c>
    </row>
  </sheetData>
  <mergeCells count="2">
    <mergeCell ref="B2:C2"/>
    <mergeCell ref="D2:I2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23" r:id="rId4" name="cmdFormatChange">
          <controlPr defaultSize="0" autoLine="0" autoPict="0" r:id="rId5">
            <anchor moveWithCells="1">
              <from>
                <xdr:col>0</xdr:col>
                <xdr:colOff>647700</xdr:colOff>
                <xdr:row>20</xdr:row>
                <xdr:rowOff>0</xdr:rowOff>
              </from>
              <to>
                <xdr:col>5</xdr:col>
                <xdr:colOff>600075</xdr:colOff>
                <xdr:row>22</xdr:row>
                <xdr:rowOff>9525</xdr:rowOff>
              </to>
            </anchor>
          </controlPr>
        </control>
      </mc:Choice>
      <mc:Fallback>
        <control shapeId="13323" r:id="rId4" name="cmdFormatChange"/>
      </mc:Fallback>
    </mc:AlternateContent>
    <mc:AlternateContent xmlns:mc="http://schemas.openxmlformats.org/markup-compatibility/2006">
      <mc:Choice Requires="x14">
        <control shapeId="13320" r:id="rId6" name="cmdMappingExport">
          <controlPr defaultSize="0" autoLine="0" autoPict="0" r:id="rId7">
            <anchor moveWithCells="1">
              <from>
                <xdr:col>0</xdr:col>
                <xdr:colOff>647700</xdr:colOff>
                <xdr:row>17</xdr:row>
                <xdr:rowOff>0</xdr:rowOff>
              </from>
              <to>
                <xdr:col>5</xdr:col>
                <xdr:colOff>600075</xdr:colOff>
                <xdr:row>19</xdr:row>
                <xdr:rowOff>0</xdr:rowOff>
              </to>
            </anchor>
          </controlPr>
        </control>
      </mc:Choice>
      <mc:Fallback>
        <control shapeId="13320" r:id="rId6" name="cmdMappingExport"/>
      </mc:Fallback>
    </mc:AlternateContent>
    <mc:AlternateContent xmlns:mc="http://schemas.openxmlformats.org/markup-compatibility/2006">
      <mc:Choice Requires="x14">
        <control shapeId="13319" r:id="rId8" name="cmdMappingExpand">
          <controlPr defaultSize="0" autoLine="0" autoPict="0" r:id="rId9">
            <anchor moveWithCells="1">
              <from>
                <xdr:col>0</xdr:col>
                <xdr:colOff>647700</xdr:colOff>
                <xdr:row>14</xdr:row>
                <xdr:rowOff>19050</xdr:rowOff>
              </from>
              <to>
                <xdr:col>5</xdr:col>
                <xdr:colOff>600075</xdr:colOff>
                <xdr:row>16</xdr:row>
                <xdr:rowOff>0</xdr:rowOff>
              </to>
            </anchor>
          </controlPr>
        </control>
      </mc:Choice>
      <mc:Fallback>
        <control shapeId="13319" r:id="rId8" name="cmdMappingExpand"/>
      </mc:Fallback>
    </mc:AlternateContent>
    <mc:AlternateContent xmlns:mc="http://schemas.openxmlformats.org/markup-compatibility/2006">
      <mc:Choice Requires="x14">
        <control shapeId="13318" r:id="rId10" name="cmdMappngFormatExport">
          <controlPr defaultSize="0" autoLine="0" autoPict="0" r:id="rId11">
            <anchor moveWithCells="1">
              <from>
                <xdr:col>0</xdr:col>
                <xdr:colOff>647700</xdr:colOff>
                <xdr:row>11</xdr:row>
                <xdr:rowOff>0</xdr:rowOff>
              </from>
              <to>
                <xdr:col>5</xdr:col>
                <xdr:colOff>600075</xdr:colOff>
                <xdr:row>13</xdr:row>
                <xdr:rowOff>0</xdr:rowOff>
              </to>
            </anchor>
          </controlPr>
        </control>
      </mc:Choice>
      <mc:Fallback>
        <control shapeId="13318" r:id="rId10" name="cmdMappngFormatExport"/>
      </mc:Fallback>
    </mc:AlternateContent>
    <mc:AlternateContent xmlns:mc="http://schemas.openxmlformats.org/markup-compatibility/2006">
      <mc:Choice Requires="x14">
        <control shapeId="13316" r:id="rId12" name="cmdMappingFormatExpand">
          <controlPr defaultSize="0" autoLine="0" autoPict="0" r:id="rId13">
            <anchor moveWithCells="1">
              <from>
                <xdr:col>0</xdr:col>
                <xdr:colOff>647700</xdr:colOff>
                <xdr:row>8</xdr:row>
                <xdr:rowOff>0</xdr:rowOff>
              </from>
              <to>
                <xdr:col>5</xdr:col>
                <xdr:colOff>600075</xdr:colOff>
                <xdr:row>10</xdr:row>
                <xdr:rowOff>0</xdr:rowOff>
              </to>
            </anchor>
          </controlPr>
        </control>
      </mc:Choice>
      <mc:Fallback>
        <control shapeId="13316" r:id="rId12" name="cmdMappingFormatExpand"/>
      </mc:Fallback>
    </mc:AlternateContent>
    <mc:AlternateContent xmlns:mc="http://schemas.openxmlformats.org/markup-compatibility/2006">
      <mc:Choice Requires="x14">
        <control shapeId="13315" r:id="rId14" name="cmdReference">
          <controlPr defaultSize="0" autoLine="0" autoPict="0" r:id="rId15">
            <anchor moveWithCells="1">
              <from>
                <xdr:col>9</xdr:col>
                <xdr:colOff>171450</xdr:colOff>
                <xdr:row>0</xdr:row>
                <xdr:rowOff>381000</xdr:rowOff>
              </from>
              <to>
                <xdr:col>10</xdr:col>
                <xdr:colOff>676275</xdr:colOff>
                <xdr:row>2</xdr:row>
                <xdr:rowOff>9525</xdr:rowOff>
              </to>
            </anchor>
          </controlPr>
        </control>
      </mc:Choice>
      <mc:Fallback>
        <control shapeId="13315" r:id="rId14" name="cmdReferenc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Mapping_Format">
    <pageSetUpPr fitToPage="1"/>
  </sheetPr>
  <dimension ref="A1:E22"/>
  <sheetViews>
    <sheetView zoomScaleNormal="100" workbookViewId="0">
      <selection activeCell="D31" sqref="D31"/>
    </sheetView>
  </sheetViews>
  <sheetFormatPr defaultColWidth="9" defaultRowHeight="13.5"/>
  <cols>
    <col min="1" max="1" width="3.5" style="16" bestFit="1" customWidth="1"/>
    <col min="2" max="2" width="14.125" style="16" customWidth="1"/>
    <col min="3" max="3" width="31.375" style="16" bestFit="1" customWidth="1"/>
    <col min="4" max="4" width="33.125" style="16" customWidth="1"/>
    <col min="5" max="5" width="99.25" style="16" bestFit="1" customWidth="1"/>
    <col min="6" max="6" width="9" style="16"/>
    <col min="7" max="7" width="36.625" style="16" bestFit="1" customWidth="1"/>
    <col min="8" max="16384" width="9" style="16"/>
  </cols>
  <sheetData>
    <row r="1" spans="1:5">
      <c r="A1" s="14" t="s">
        <v>128</v>
      </c>
      <c r="B1" s="15" t="s">
        <v>190</v>
      </c>
      <c r="C1" s="14" t="s">
        <v>129</v>
      </c>
      <c r="D1" s="14" t="s">
        <v>4</v>
      </c>
      <c r="E1" s="14" t="s">
        <v>130</v>
      </c>
    </row>
    <row r="2" spans="1:5">
      <c r="A2" s="17">
        <v>1</v>
      </c>
      <c r="B2" s="15" t="s">
        <v>192</v>
      </c>
      <c r="C2" s="17" t="s">
        <v>207</v>
      </c>
      <c r="D2" s="18" t="s">
        <v>224</v>
      </c>
      <c r="E2" s="17" t="s">
        <v>131</v>
      </c>
    </row>
    <row r="3" spans="1:5">
      <c r="A3" s="17">
        <v>2</v>
      </c>
      <c r="B3" s="15" t="s">
        <v>192</v>
      </c>
      <c r="C3" s="17" t="s">
        <v>208</v>
      </c>
      <c r="D3" s="18"/>
      <c r="E3" s="17" t="s">
        <v>132</v>
      </c>
    </row>
    <row r="4" spans="1:5">
      <c r="A4" s="17">
        <v>3</v>
      </c>
      <c r="B4" s="15" t="s">
        <v>192</v>
      </c>
      <c r="C4" s="17" t="s">
        <v>209</v>
      </c>
      <c r="D4" s="19"/>
      <c r="E4" s="17" t="s">
        <v>133</v>
      </c>
    </row>
    <row r="5" spans="1:5">
      <c r="A5" s="17">
        <v>4</v>
      </c>
      <c r="B5" s="15"/>
      <c r="C5" s="17" t="s">
        <v>1447</v>
      </c>
      <c r="D5" s="19"/>
      <c r="E5" s="17" t="s">
        <v>1446</v>
      </c>
    </row>
    <row r="6" spans="1:5">
      <c r="A6" s="17">
        <v>5</v>
      </c>
      <c r="B6" s="20"/>
      <c r="C6" s="17" t="s">
        <v>210</v>
      </c>
      <c r="D6" s="19"/>
      <c r="E6" s="17" t="s">
        <v>134</v>
      </c>
    </row>
    <row r="7" spans="1:5">
      <c r="A7" s="17">
        <f>A6+1</f>
        <v>6</v>
      </c>
      <c r="B7" s="20"/>
      <c r="C7" s="17" t="s">
        <v>211</v>
      </c>
      <c r="D7" s="19"/>
      <c r="E7" s="17" t="s">
        <v>135</v>
      </c>
    </row>
    <row r="8" spans="1:5">
      <c r="A8" s="17">
        <f t="shared" ref="A8:A19" si="0">A7+1</f>
        <v>7</v>
      </c>
      <c r="B8" s="15" t="s">
        <v>192</v>
      </c>
      <c r="C8" s="17" t="s">
        <v>223</v>
      </c>
      <c r="D8" s="19"/>
      <c r="E8" s="17" t="s">
        <v>136</v>
      </c>
    </row>
    <row r="9" spans="1:5">
      <c r="A9" s="17">
        <f t="shared" si="0"/>
        <v>8</v>
      </c>
      <c r="B9" s="20"/>
      <c r="C9" s="21" t="s">
        <v>212</v>
      </c>
      <c r="D9" s="19"/>
      <c r="E9" s="17" t="s">
        <v>137</v>
      </c>
    </row>
    <row r="10" spans="1:5">
      <c r="A10" s="17">
        <f t="shared" si="0"/>
        <v>9</v>
      </c>
      <c r="B10" s="20"/>
      <c r="C10" s="17" t="s">
        <v>213</v>
      </c>
      <c r="D10" s="19"/>
      <c r="E10" s="17" t="s">
        <v>138</v>
      </c>
    </row>
    <row r="11" spans="1:5">
      <c r="A11" s="17">
        <f t="shared" si="0"/>
        <v>10</v>
      </c>
      <c r="B11" s="20"/>
      <c r="C11" s="17" t="s">
        <v>1445</v>
      </c>
      <c r="D11" s="19"/>
      <c r="E11" s="17"/>
    </row>
    <row r="12" spans="1:5">
      <c r="A12" s="17">
        <f t="shared" si="0"/>
        <v>11</v>
      </c>
      <c r="B12" s="15" t="s">
        <v>192</v>
      </c>
      <c r="C12" s="17" t="s">
        <v>214</v>
      </c>
      <c r="D12" s="19"/>
      <c r="E12" s="17" t="s">
        <v>139</v>
      </c>
    </row>
    <row r="13" spans="1:5">
      <c r="A13" s="17">
        <f t="shared" si="0"/>
        <v>12</v>
      </c>
      <c r="B13" s="15"/>
      <c r="C13" s="17" t="s">
        <v>215</v>
      </c>
      <c r="D13" s="19"/>
      <c r="E13" s="17" t="s">
        <v>135</v>
      </c>
    </row>
    <row r="14" spans="1:5">
      <c r="A14" s="17">
        <f t="shared" si="0"/>
        <v>13</v>
      </c>
      <c r="B14" s="15" t="s">
        <v>192</v>
      </c>
      <c r="C14" s="17" t="s">
        <v>216</v>
      </c>
      <c r="D14" s="19"/>
      <c r="E14" s="17" t="s">
        <v>135</v>
      </c>
    </row>
    <row r="15" spans="1:5">
      <c r="A15" s="17">
        <f t="shared" si="0"/>
        <v>14</v>
      </c>
      <c r="B15" s="20"/>
      <c r="C15" s="17" t="s">
        <v>217</v>
      </c>
      <c r="D15" s="19"/>
      <c r="E15" s="17" t="s">
        <v>140</v>
      </c>
    </row>
    <row r="16" spans="1:5">
      <c r="A16" s="17">
        <f t="shared" si="0"/>
        <v>15</v>
      </c>
      <c r="B16" s="15" t="s">
        <v>192</v>
      </c>
      <c r="C16" s="17" t="s">
        <v>218</v>
      </c>
      <c r="D16" s="19"/>
      <c r="E16" s="17" t="s">
        <v>141</v>
      </c>
    </row>
    <row r="17" spans="1:5">
      <c r="A17" s="17">
        <f t="shared" si="0"/>
        <v>16</v>
      </c>
      <c r="B17" s="15" t="s">
        <v>192</v>
      </c>
      <c r="C17" s="17" t="s">
        <v>219</v>
      </c>
      <c r="D17" s="19"/>
      <c r="E17" s="17" t="s">
        <v>142</v>
      </c>
    </row>
    <row r="18" spans="1:5">
      <c r="A18" s="17">
        <f t="shared" si="0"/>
        <v>17</v>
      </c>
      <c r="B18" s="15" t="s">
        <v>192</v>
      </c>
      <c r="C18" s="17" t="s">
        <v>220</v>
      </c>
      <c r="D18" s="22"/>
      <c r="E18" s="17" t="s">
        <v>143</v>
      </c>
    </row>
    <row r="19" spans="1:5">
      <c r="A19" s="17">
        <f t="shared" si="0"/>
        <v>18</v>
      </c>
      <c r="B19" s="15" t="s">
        <v>192</v>
      </c>
      <c r="C19" s="17" t="s">
        <v>221</v>
      </c>
      <c r="D19" s="22" t="s">
        <v>225</v>
      </c>
      <c r="E19" s="17" t="s">
        <v>144</v>
      </c>
    </row>
    <row r="21" spans="1:5">
      <c r="B21" s="39" t="s">
        <v>1464</v>
      </c>
    </row>
    <row r="22" spans="1:5">
      <c r="B22" s="40" t="s">
        <v>887</v>
      </c>
    </row>
  </sheetData>
  <sheetProtection sheet="1" objects="1" scenarios="1" formatCells="0" formatColumns="0"/>
  <phoneticPr fontId="1"/>
  <dataValidations count="5">
    <dataValidation type="textLength" operator="lessThanOrEqual" allowBlank="1" showInputMessage="1" showErrorMessage="1" sqref="D18" xr:uid="{00000000-0002-0000-0100-000000000000}">
      <formula1>3</formula1>
    </dataValidation>
    <dataValidation type="textLength" operator="lessThanOrEqual" allowBlank="1" showInputMessage="1" showErrorMessage="1" sqref="D19" xr:uid="{00000000-0002-0000-0100-000001000000}">
      <formula1>4</formula1>
    </dataValidation>
    <dataValidation type="textLength" operator="lessThanOrEqual" allowBlank="1" showInputMessage="1" showErrorMessage="1" sqref="D3" xr:uid="{00000000-0002-0000-0100-000002000000}">
      <formula1>5</formula1>
    </dataValidation>
    <dataValidation type="textLength" operator="lessThanOrEqual" allowBlank="1" showInputMessage="1" showErrorMessage="1" sqref="D2" xr:uid="{00000000-0002-0000-0100-000003000000}">
      <formula1>1</formula1>
    </dataValidation>
    <dataValidation type="list" allowBlank="1" showInputMessage="1" showErrorMessage="1" sqref="B22" xr:uid="{00000000-0002-0000-0100-000004000000}">
      <formula1>"ON,OFF"</formula1>
    </dataValidation>
  </dataValidations>
  <pageMargins left="0.70866141732283472" right="0.70866141732283472" top="0.74803149606299213" bottom="0.74803149606299213" header="0.31496062992125984" footer="0.31496062992125984"/>
  <pageSetup paperSize="9" scale="58" orientation="landscape" r:id="rId1"/>
  <headerFooter>
    <oddHeader>&amp;L&amp;A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100-000005000000}">
          <x14:formula1>
            <xm:f>OFFSET(puldata_Format!$D$1,1,0,COUNTA(puldata_Format!$D:$D),1)</xm:f>
          </x14:formula1>
          <xm:sqref>D17 D9:D11 D13 D15 D5:D7</xm:sqref>
        </x14:dataValidation>
        <x14:dataValidation type="list" allowBlank="1" showInputMessage="1" xr:uid="{00000000-0002-0000-0100-000006000000}">
          <x14:formula1>
            <xm:f>OFFSET(puldata_Format!$C$1,1,0,COUNTA(puldata_Format!$C:$C),1)</xm:f>
          </x14:formula1>
          <xm:sqref>D16 D12 D14 D4 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Mapping_Hospital"/>
  <dimension ref="A1:B3"/>
  <sheetViews>
    <sheetView workbookViewId="0">
      <selection activeCell="B2" sqref="B2"/>
    </sheetView>
  </sheetViews>
  <sheetFormatPr defaultRowHeight="18.75"/>
  <cols>
    <col min="1" max="1" width="16.875" style="46" customWidth="1"/>
    <col min="2" max="2" width="8.5" bestFit="1" customWidth="1"/>
    <col min="3" max="5" width="9" customWidth="1"/>
  </cols>
  <sheetData>
    <row r="1" spans="1:2">
      <c r="A1" s="45" t="s">
        <v>222</v>
      </c>
      <c r="B1" s="23" t="s">
        <v>4</v>
      </c>
    </row>
    <row r="2" spans="1:2">
      <c r="A2" s="41" t="s">
        <v>280</v>
      </c>
      <c r="B2" s="24"/>
    </row>
    <row r="3" spans="1:2">
      <c r="A3"/>
    </row>
  </sheetData>
  <sheetProtection sheet="1" objects="1" scenarios="1" formatCells="0" formatColumns="0"/>
  <phoneticPr fontId="1"/>
  <dataValidations count="1">
    <dataValidation type="whole" allowBlank="1" showInputMessage="1" sqref="B2" xr:uid="{00000000-0002-0000-0200-000000000000}">
      <formula1>1</formula1>
      <formula2>3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Puldata_Format"/>
  <dimension ref="A1"/>
  <sheetViews>
    <sheetView workbookViewId="0">
      <selection activeCell="A2" sqref="A2"/>
    </sheetView>
  </sheetViews>
  <sheetFormatPr defaultRowHeight="18.75"/>
  <sheetData>
    <row r="1" spans="1:1">
      <c r="A1" t="s">
        <v>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puldata_Bacterium"/>
  <dimension ref="A1:D549"/>
  <sheetViews>
    <sheetView topLeftCell="A409" workbookViewId="0">
      <selection activeCell="C549" sqref="C549"/>
    </sheetView>
  </sheetViews>
  <sheetFormatPr defaultRowHeight="18.75"/>
  <cols>
    <col min="2" max="2" width="62.375" bestFit="1" customWidth="1"/>
    <col min="3" max="3" width="67.375" bestFit="1" customWidth="1"/>
  </cols>
  <sheetData>
    <row r="1" spans="1:4">
      <c r="A1" s="2" t="s">
        <v>0</v>
      </c>
      <c r="B1" s="2" t="s">
        <v>1</v>
      </c>
      <c r="C1" s="2" t="s">
        <v>2</v>
      </c>
    </row>
    <row r="2" spans="1:4">
      <c r="A2" s="1">
        <v>7431</v>
      </c>
      <c r="B2" s="1" t="s">
        <v>897</v>
      </c>
      <c r="C2" s="2" t="str">
        <f>B2&amp;":"&amp;A2</f>
        <v>Absidia corymbifera:7431</v>
      </c>
      <c r="D2" t="s">
        <v>346</v>
      </c>
    </row>
    <row r="3" spans="1:4">
      <c r="A3" s="1">
        <v>7430</v>
      </c>
      <c r="B3" s="1" t="s">
        <v>898</v>
      </c>
      <c r="C3" s="2" t="str">
        <f t="shared" ref="C3:C66" si="0">B3&amp;":"&amp;A3</f>
        <v>Absidia sp.:7430</v>
      </c>
      <c r="D3" t="s">
        <v>347</v>
      </c>
    </row>
    <row r="4" spans="1:4">
      <c r="A4" s="1">
        <v>9060</v>
      </c>
      <c r="B4" s="1" t="s">
        <v>899</v>
      </c>
      <c r="C4" s="2" t="str">
        <f t="shared" si="0"/>
        <v>Acanthamoeba sp.:9060</v>
      </c>
      <c r="D4" t="s">
        <v>348</v>
      </c>
    </row>
    <row r="5" spans="1:4">
      <c r="A5" s="1">
        <v>9801</v>
      </c>
      <c r="B5" s="1" t="s">
        <v>900</v>
      </c>
      <c r="C5" s="2" t="str">
        <f t="shared" si="0"/>
        <v>Acholeplasma:9801</v>
      </c>
      <c r="D5" t="s">
        <v>349</v>
      </c>
    </row>
    <row r="6" spans="1:4">
      <c r="A6" s="1">
        <v>9802</v>
      </c>
      <c r="B6" s="1" t="s">
        <v>901</v>
      </c>
      <c r="C6" s="2" t="str">
        <f t="shared" si="0"/>
        <v>Acidaminococcus:9802</v>
      </c>
      <c r="D6" t="s">
        <v>350</v>
      </c>
    </row>
    <row r="7" spans="1:4">
      <c r="A7" s="1">
        <v>9803</v>
      </c>
      <c r="B7" s="1" t="s">
        <v>902</v>
      </c>
      <c r="C7" s="2" t="str">
        <f t="shared" si="0"/>
        <v>Acidovorax:9803</v>
      </c>
      <c r="D7" t="s">
        <v>351</v>
      </c>
    </row>
    <row r="8" spans="1:4">
      <c r="A8" s="1">
        <v>4402</v>
      </c>
      <c r="B8" s="1" t="s">
        <v>903</v>
      </c>
      <c r="C8" s="2" t="str">
        <f t="shared" si="0"/>
        <v>Acinetobacter baumannii:4402</v>
      </c>
      <c r="D8" t="s">
        <v>352</v>
      </c>
    </row>
    <row r="9" spans="1:4">
      <c r="A9" s="1">
        <v>4401</v>
      </c>
      <c r="B9" s="1" t="s">
        <v>904</v>
      </c>
      <c r="C9" s="2" t="str">
        <f t="shared" si="0"/>
        <v>Acinetobacter calcoaceticus:4401</v>
      </c>
      <c r="D9" t="s">
        <v>353</v>
      </c>
    </row>
    <row r="10" spans="1:4">
      <c r="A10" s="1">
        <v>4403</v>
      </c>
      <c r="B10" s="1" t="s">
        <v>905</v>
      </c>
      <c r="C10" s="2" t="str">
        <f t="shared" si="0"/>
        <v>Acinetobacter lwoffii:4403</v>
      </c>
      <c r="D10" t="s">
        <v>354</v>
      </c>
    </row>
    <row r="11" spans="1:4">
      <c r="A11" s="1">
        <v>4400</v>
      </c>
      <c r="B11" s="1" t="s">
        <v>906</v>
      </c>
      <c r="C11" s="2" t="str">
        <f t="shared" si="0"/>
        <v>Acinetobacter sp.:4400</v>
      </c>
      <c r="D11" t="s">
        <v>355</v>
      </c>
    </row>
    <row r="12" spans="1:4">
      <c r="A12" s="1">
        <v>3401</v>
      </c>
      <c r="B12" s="1" t="s">
        <v>907</v>
      </c>
      <c r="C12" s="2" t="str">
        <f t="shared" si="0"/>
        <v>Actinobacillus actinomycetemcomitans:3401</v>
      </c>
      <c r="D12" t="s">
        <v>356</v>
      </c>
    </row>
    <row r="13" spans="1:4">
      <c r="A13" s="1">
        <v>3400</v>
      </c>
      <c r="B13" s="1" t="s">
        <v>908</v>
      </c>
      <c r="C13" s="2" t="str">
        <f t="shared" si="0"/>
        <v>Actinobacillus sp.:3400</v>
      </c>
      <c r="D13" t="s">
        <v>357</v>
      </c>
    </row>
    <row r="14" spans="1:4">
      <c r="A14" s="1">
        <v>9805</v>
      </c>
      <c r="B14" s="1" t="s">
        <v>909</v>
      </c>
      <c r="C14" s="2" t="str">
        <f t="shared" si="0"/>
        <v>Actinomadura:9805</v>
      </c>
      <c r="D14" t="s">
        <v>358</v>
      </c>
    </row>
    <row r="15" spans="1:4">
      <c r="A15" s="1">
        <v>6301</v>
      </c>
      <c r="B15" s="1" t="s">
        <v>910</v>
      </c>
      <c r="C15" s="2" t="str">
        <f t="shared" si="0"/>
        <v>Actinomyces israelii:6301</v>
      </c>
      <c r="D15" t="s">
        <v>359</v>
      </c>
    </row>
    <row r="16" spans="1:4">
      <c r="A16" s="1">
        <v>6300</v>
      </c>
      <c r="B16" s="1" t="s">
        <v>911</v>
      </c>
      <c r="C16" s="2" t="str">
        <f t="shared" si="0"/>
        <v>Actinomyces sp.:6300</v>
      </c>
      <c r="D16" t="s">
        <v>360</v>
      </c>
    </row>
    <row r="17" spans="1:4">
      <c r="A17" s="1">
        <v>1600</v>
      </c>
      <c r="B17" s="1" t="s">
        <v>912</v>
      </c>
      <c r="C17" s="2" t="str">
        <f t="shared" si="0"/>
        <v>Aerococcus sp.:1600</v>
      </c>
      <c r="D17" t="s">
        <v>361</v>
      </c>
    </row>
    <row r="18" spans="1:4">
      <c r="A18" s="1">
        <v>3053</v>
      </c>
      <c r="B18" s="1" t="s">
        <v>913</v>
      </c>
      <c r="C18" s="2" t="str">
        <f t="shared" si="0"/>
        <v>Aeromonas caviae:3053</v>
      </c>
      <c r="D18" t="s">
        <v>362</v>
      </c>
    </row>
    <row r="19" spans="1:4">
      <c r="A19" s="1">
        <v>3051</v>
      </c>
      <c r="B19" s="1" t="s">
        <v>914</v>
      </c>
      <c r="C19" s="2" t="str">
        <f t="shared" si="0"/>
        <v>Aeromonas hydrophila subsp. hydrophila:3051</v>
      </c>
      <c r="D19" t="s">
        <v>363</v>
      </c>
    </row>
    <row r="20" spans="1:4">
      <c r="A20" s="1">
        <v>3052</v>
      </c>
      <c r="B20" s="1" t="s">
        <v>915</v>
      </c>
      <c r="C20" s="2" t="str">
        <f t="shared" si="0"/>
        <v>Aeromonas sobria:3052</v>
      </c>
      <c r="D20" t="s">
        <v>364</v>
      </c>
    </row>
    <row r="21" spans="1:4">
      <c r="A21" s="1">
        <v>3050</v>
      </c>
      <c r="B21" s="1" t="s">
        <v>916</v>
      </c>
      <c r="C21" s="2" t="str">
        <f t="shared" si="0"/>
        <v>Aeromonas sp.:3050</v>
      </c>
      <c r="D21" t="s">
        <v>365</v>
      </c>
    </row>
    <row r="22" spans="1:4">
      <c r="A22" s="1">
        <v>9806</v>
      </c>
      <c r="B22" s="1" t="s">
        <v>917</v>
      </c>
      <c r="C22" s="2" t="str">
        <f t="shared" si="0"/>
        <v>Afipia:9806</v>
      </c>
      <c r="D22" t="s">
        <v>366</v>
      </c>
    </row>
    <row r="23" spans="1:4">
      <c r="A23" s="1">
        <v>4101</v>
      </c>
      <c r="B23" s="1" t="s">
        <v>918</v>
      </c>
      <c r="C23" s="2" t="str">
        <f t="shared" si="0"/>
        <v>Alcaligenes faecalis subsp. faecalis:4101</v>
      </c>
      <c r="D23" t="s">
        <v>367</v>
      </c>
    </row>
    <row r="24" spans="1:4">
      <c r="A24" s="1">
        <v>4100</v>
      </c>
      <c r="B24" s="1" t="s">
        <v>919</v>
      </c>
      <c r="C24" s="2" t="str">
        <f t="shared" si="0"/>
        <v>Alcaligenes sp.:4100</v>
      </c>
      <c r="D24" t="s">
        <v>368</v>
      </c>
    </row>
    <row r="25" spans="1:4">
      <c r="A25" s="1">
        <v>4102</v>
      </c>
      <c r="B25" s="1" t="s">
        <v>920</v>
      </c>
      <c r="C25" s="2" t="str">
        <f t="shared" si="0"/>
        <v>Alcaligenes xylosoxidans subsp. xylosoxidans:4102</v>
      </c>
      <c r="D25" t="s">
        <v>369</v>
      </c>
    </row>
    <row r="26" spans="1:4">
      <c r="A26" s="1">
        <v>9807</v>
      </c>
      <c r="B26" s="1" t="s">
        <v>921</v>
      </c>
      <c r="C26" s="2" t="str">
        <f t="shared" si="0"/>
        <v>Alloiococcus:9807</v>
      </c>
      <c r="D26" t="s">
        <v>370</v>
      </c>
    </row>
    <row r="27" spans="1:4">
      <c r="A27" s="1">
        <v>7362</v>
      </c>
      <c r="B27" s="1" t="s">
        <v>922</v>
      </c>
      <c r="C27" s="2" t="str">
        <f t="shared" si="0"/>
        <v>Alternaria alternata:7362</v>
      </c>
      <c r="D27" t="s">
        <v>371</v>
      </c>
    </row>
    <row r="28" spans="1:4">
      <c r="A28" s="1">
        <v>7360</v>
      </c>
      <c r="B28" s="1" t="s">
        <v>923</v>
      </c>
      <c r="C28" s="2" t="str">
        <f t="shared" si="0"/>
        <v>Alternaria sp.:7360</v>
      </c>
      <c r="D28" t="s">
        <v>372</v>
      </c>
    </row>
    <row r="29" spans="1:4">
      <c r="A29" s="1">
        <v>7361</v>
      </c>
      <c r="B29" s="1" t="s">
        <v>924</v>
      </c>
      <c r="C29" s="2" t="str">
        <f t="shared" si="0"/>
        <v>Alternaria tenuissima:7361</v>
      </c>
      <c r="D29" t="s">
        <v>373</v>
      </c>
    </row>
    <row r="30" spans="1:4">
      <c r="A30" s="1">
        <v>9808</v>
      </c>
      <c r="B30" s="1" t="s">
        <v>925</v>
      </c>
      <c r="C30" s="2" t="str">
        <f t="shared" si="0"/>
        <v>Anaerobiospirillum:9808</v>
      </c>
      <c r="D30" t="s">
        <v>374</v>
      </c>
    </row>
    <row r="31" spans="1:4">
      <c r="A31" s="1">
        <v>5002</v>
      </c>
      <c r="B31" s="1" t="s">
        <v>926</v>
      </c>
      <c r="C31" s="2" t="str">
        <f t="shared" si="0"/>
        <v>Anaerococcus prevotii:5002</v>
      </c>
      <c r="D31" t="s">
        <v>375</v>
      </c>
    </row>
    <row r="32" spans="1:4">
      <c r="A32" s="1">
        <v>5030</v>
      </c>
      <c r="B32" s="1" t="s">
        <v>927</v>
      </c>
      <c r="C32" s="2" t="str">
        <f t="shared" si="0"/>
        <v>Anaerococcus sp.:5030</v>
      </c>
      <c r="D32" t="s">
        <v>376</v>
      </c>
    </row>
    <row r="33" spans="1:4">
      <c r="A33" s="1">
        <v>9809</v>
      </c>
      <c r="B33" s="1" t="s">
        <v>928</v>
      </c>
      <c r="C33" s="2" t="str">
        <f t="shared" si="0"/>
        <v>Anaerorhabdus:9809</v>
      </c>
      <c r="D33" t="s">
        <v>377</v>
      </c>
    </row>
    <row r="34" spans="1:4">
      <c r="A34" s="1">
        <v>9810</v>
      </c>
      <c r="B34" s="1" t="s">
        <v>929</v>
      </c>
      <c r="C34" s="2" t="str">
        <f t="shared" si="0"/>
        <v>Arcanobacterium:9810</v>
      </c>
      <c r="D34" t="s">
        <v>378</v>
      </c>
    </row>
    <row r="35" spans="1:4">
      <c r="A35" s="1">
        <v>9811</v>
      </c>
      <c r="B35" s="1" t="s">
        <v>930</v>
      </c>
      <c r="C35" s="2" t="str">
        <f t="shared" si="0"/>
        <v>Arthrobacter:9811</v>
      </c>
      <c r="D35" t="s">
        <v>379</v>
      </c>
    </row>
    <row r="36" spans="1:4">
      <c r="A36" s="1">
        <v>7301</v>
      </c>
      <c r="B36" s="1" t="s">
        <v>931</v>
      </c>
      <c r="C36" s="2" t="str">
        <f t="shared" si="0"/>
        <v>Aspergillus flavus:7301</v>
      </c>
      <c r="D36" t="s">
        <v>380</v>
      </c>
    </row>
    <row r="37" spans="1:4">
      <c r="A37" s="1">
        <v>7302</v>
      </c>
      <c r="B37" s="1" t="s">
        <v>932</v>
      </c>
      <c r="C37" s="2" t="str">
        <f t="shared" si="0"/>
        <v>Aspergillus fumigatus:7302</v>
      </c>
      <c r="D37" t="s">
        <v>381</v>
      </c>
    </row>
    <row r="38" spans="1:4">
      <c r="A38" s="1">
        <v>7303</v>
      </c>
      <c r="B38" s="1" t="s">
        <v>933</v>
      </c>
      <c r="C38" s="2" t="str">
        <f t="shared" si="0"/>
        <v>Aspergillus nidulans:7303</v>
      </c>
      <c r="D38" t="s">
        <v>382</v>
      </c>
    </row>
    <row r="39" spans="1:4">
      <c r="A39" s="1">
        <v>7304</v>
      </c>
      <c r="B39" s="1" t="s">
        <v>934</v>
      </c>
      <c r="C39" s="2" t="str">
        <f t="shared" si="0"/>
        <v>Aspergillus niger:7304</v>
      </c>
      <c r="D39" t="s">
        <v>383</v>
      </c>
    </row>
    <row r="40" spans="1:4">
      <c r="A40" s="1">
        <v>7300</v>
      </c>
      <c r="B40" s="1" t="s">
        <v>935</v>
      </c>
      <c r="C40" s="2" t="str">
        <f t="shared" si="0"/>
        <v>Aspergillus sp.:7300</v>
      </c>
      <c r="D40" t="s">
        <v>384</v>
      </c>
    </row>
    <row r="41" spans="1:4">
      <c r="A41" s="1">
        <v>7305</v>
      </c>
      <c r="B41" s="1" t="s">
        <v>936</v>
      </c>
      <c r="C41" s="2" t="str">
        <f t="shared" si="0"/>
        <v>Aspergillus terreus:7305</v>
      </c>
      <c r="D41" t="s">
        <v>385</v>
      </c>
    </row>
    <row r="42" spans="1:4">
      <c r="A42" s="1">
        <v>9812</v>
      </c>
      <c r="B42" s="1" t="s">
        <v>937</v>
      </c>
      <c r="C42" s="2" t="str">
        <f t="shared" si="0"/>
        <v>Atopobium:9812</v>
      </c>
      <c r="D42" t="s">
        <v>386</v>
      </c>
    </row>
    <row r="43" spans="1:4">
      <c r="A43" s="1">
        <v>6103</v>
      </c>
      <c r="B43" s="1" t="s">
        <v>938</v>
      </c>
      <c r="C43" s="2" t="str">
        <f t="shared" si="0"/>
        <v>Bacillus anthracis:6103</v>
      </c>
      <c r="D43" t="s">
        <v>387</v>
      </c>
    </row>
    <row r="44" spans="1:4">
      <c r="A44" s="1">
        <v>6101</v>
      </c>
      <c r="B44" s="1" t="s">
        <v>939</v>
      </c>
      <c r="C44" s="2" t="str">
        <f t="shared" si="0"/>
        <v>Bacillus cereus:6101</v>
      </c>
      <c r="D44" t="s">
        <v>388</v>
      </c>
    </row>
    <row r="45" spans="1:4">
      <c r="A45" s="1">
        <v>6100</v>
      </c>
      <c r="B45" s="1" t="s">
        <v>940</v>
      </c>
      <c r="C45" s="2" t="str">
        <f t="shared" si="0"/>
        <v>Bacillus sp.:6100</v>
      </c>
      <c r="D45" t="s">
        <v>389</v>
      </c>
    </row>
    <row r="46" spans="1:4">
      <c r="A46" s="1">
        <v>6102</v>
      </c>
      <c r="B46" s="1" t="s">
        <v>941</v>
      </c>
      <c r="C46" s="2" t="str">
        <f t="shared" si="0"/>
        <v>Bacillus subtilis subsp. subtilis:6102</v>
      </c>
      <c r="D46" t="s">
        <v>390</v>
      </c>
    </row>
    <row r="47" spans="1:4">
      <c r="A47" s="1">
        <v>5507</v>
      </c>
      <c r="B47" s="1" t="s">
        <v>942</v>
      </c>
      <c r="C47" s="2" t="str">
        <f t="shared" si="0"/>
        <v>Bacteroides caccae:5507</v>
      </c>
      <c r="D47" t="s">
        <v>391</v>
      </c>
    </row>
    <row r="48" spans="1:4">
      <c r="A48" s="1">
        <v>5505</v>
      </c>
      <c r="B48" s="1" t="s">
        <v>943</v>
      </c>
      <c r="C48" s="2" t="str">
        <f t="shared" si="0"/>
        <v>Bacteroides distasonis:5505</v>
      </c>
      <c r="D48" t="s">
        <v>392</v>
      </c>
    </row>
    <row r="49" spans="1:4">
      <c r="A49" s="1">
        <v>5501</v>
      </c>
      <c r="B49" s="1" t="s">
        <v>944</v>
      </c>
      <c r="C49" s="2" t="str">
        <f t="shared" si="0"/>
        <v>Bacteroides fragilis:5501</v>
      </c>
      <c r="D49" t="s">
        <v>393</v>
      </c>
    </row>
    <row r="50" spans="1:4">
      <c r="A50" s="1">
        <v>5502</v>
      </c>
      <c r="B50" s="1" t="s">
        <v>945</v>
      </c>
      <c r="C50" s="2" t="str">
        <f t="shared" si="0"/>
        <v>Bacteroides ovatus:5502</v>
      </c>
      <c r="D50" t="s">
        <v>394</v>
      </c>
    </row>
    <row r="51" spans="1:4">
      <c r="A51" s="1">
        <v>5500</v>
      </c>
      <c r="B51" s="1" t="s">
        <v>946</v>
      </c>
      <c r="C51" s="2" t="str">
        <f t="shared" si="0"/>
        <v>Bacteroides sp.:5500</v>
      </c>
      <c r="D51" t="s">
        <v>395</v>
      </c>
    </row>
    <row r="52" spans="1:4">
      <c r="A52" s="1">
        <v>5503</v>
      </c>
      <c r="B52" s="1" t="s">
        <v>947</v>
      </c>
      <c r="C52" s="2" t="str">
        <f t="shared" si="0"/>
        <v>Bacteroides thetaiotaomicron:5503</v>
      </c>
      <c r="D52" t="s">
        <v>396</v>
      </c>
    </row>
    <row r="53" spans="1:4">
      <c r="A53" s="1">
        <v>5506</v>
      </c>
      <c r="B53" s="1" t="s">
        <v>948</v>
      </c>
      <c r="C53" s="2" t="str">
        <f t="shared" si="0"/>
        <v>Bacteroides uniformis:5506</v>
      </c>
      <c r="D53" t="s">
        <v>397</v>
      </c>
    </row>
    <row r="54" spans="1:4">
      <c r="A54" s="1">
        <v>5504</v>
      </c>
      <c r="B54" s="1" t="s">
        <v>949</v>
      </c>
      <c r="C54" s="2" t="str">
        <f t="shared" si="0"/>
        <v>Bacteroides vulgatus:5504</v>
      </c>
      <c r="D54" t="s">
        <v>398</v>
      </c>
    </row>
    <row r="55" spans="1:4">
      <c r="A55" s="1">
        <v>9051</v>
      </c>
      <c r="B55" s="1" t="s">
        <v>950</v>
      </c>
      <c r="C55" s="2" t="str">
        <f t="shared" si="0"/>
        <v>Balantidium coli:9051</v>
      </c>
      <c r="D55" t="s">
        <v>399</v>
      </c>
    </row>
    <row r="56" spans="1:4">
      <c r="A56" s="1">
        <v>9050</v>
      </c>
      <c r="B56" s="1" t="s">
        <v>951</v>
      </c>
      <c r="C56" s="2" t="str">
        <f t="shared" si="0"/>
        <v>Balantidium sp.:9050</v>
      </c>
      <c r="D56" t="s">
        <v>400</v>
      </c>
    </row>
    <row r="57" spans="1:4">
      <c r="A57" s="1">
        <v>9813</v>
      </c>
      <c r="B57" s="1" t="s">
        <v>952</v>
      </c>
      <c r="C57" s="2" t="str">
        <f t="shared" si="0"/>
        <v>Balneatrix:9813</v>
      </c>
      <c r="D57" t="s">
        <v>401</v>
      </c>
    </row>
    <row r="58" spans="1:4">
      <c r="A58" s="1">
        <v>9814</v>
      </c>
      <c r="B58" s="1" t="s">
        <v>953</v>
      </c>
      <c r="C58" s="2" t="str">
        <f t="shared" si="0"/>
        <v>Bartonella:9814</v>
      </c>
      <c r="D58" t="s">
        <v>402</v>
      </c>
    </row>
    <row r="59" spans="1:4">
      <c r="A59" s="1">
        <v>9815</v>
      </c>
      <c r="B59" s="1" t="s">
        <v>954</v>
      </c>
      <c r="C59" s="2" t="str">
        <f t="shared" si="0"/>
        <v>Bergeyella:9815</v>
      </c>
      <c r="D59" t="s">
        <v>403</v>
      </c>
    </row>
    <row r="60" spans="1:4">
      <c r="A60" s="1">
        <v>5200</v>
      </c>
      <c r="B60" s="1" t="s">
        <v>955</v>
      </c>
      <c r="C60" s="2" t="str">
        <f t="shared" si="0"/>
        <v>Bifidobacterium sp.:5200</v>
      </c>
      <c r="D60" t="s">
        <v>404</v>
      </c>
    </row>
    <row r="61" spans="1:4">
      <c r="A61" s="1">
        <v>9816</v>
      </c>
      <c r="B61" s="1" t="s">
        <v>956</v>
      </c>
      <c r="C61" s="2" t="str">
        <f t="shared" si="0"/>
        <v>Bilophila:9816</v>
      </c>
      <c r="D61" t="s">
        <v>405</v>
      </c>
    </row>
    <row r="62" spans="1:4">
      <c r="A62" s="1">
        <v>7551</v>
      </c>
      <c r="B62" s="1" t="s">
        <v>957</v>
      </c>
      <c r="C62" s="2" t="str">
        <f t="shared" si="0"/>
        <v>Blastomyces dermatitidis:7551</v>
      </c>
      <c r="D62" t="s">
        <v>406</v>
      </c>
    </row>
    <row r="63" spans="1:4">
      <c r="A63" s="1">
        <v>7550</v>
      </c>
      <c r="B63" s="1" t="s">
        <v>958</v>
      </c>
      <c r="C63" s="2" t="str">
        <f t="shared" si="0"/>
        <v>Blastomyces sp.:7550</v>
      </c>
      <c r="D63" t="s">
        <v>407</v>
      </c>
    </row>
    <row r="64" spans="1:4">
      <c r="A64" s="1">
        <v>3273</v>
      </c>
      <c r="B64" s="1" t="s">
        <v>959</v>
      </c>
      <c r="C64" s="2" t="str">
        <f t="shared" si="0"/>
        <v>Bordetella bronchiseptica:3273</v>
      </c>
      <c r="D64" t="s">
        <v>408</v>
      </c>
    </row>
    <row r="65" spans="1:4">
      <c r="A65" s="1">
        <v>3272</v>
      </c>
      <c r="B65" s="1" t="s">
        <v>960</v>
      </c>
      <c r="C65" s="2" t="str">
        <f t="shared" si="0"/>
        <v>Bordetella parapertussis:3272</v>
      </c>
      <c r="D65" t="s">
        <v>409</v>
      </c>
    </row>
    <row r="66" spans="1:4">
      <c r="A66" s="1">
        <v>3271</v>
      </c>
      <c r="B66" s="1" t="s">
        <v>961</v>
      </c>
      <c r="C66" s="2" t="str">
        <f t="shared" si="0"/>
        <v>Bordetella pertussis:3271</v>
      </c>
      <c r="D66" t="s">
        <v>410</v>
      </c>
    </row>
    <row r="67" spans="1:4">
      <c r="A67" s="1">
        <v>3270</v>
      </c>
      <c r="B67" s="1" t="s">
        <v>962</v>
      </c>
      <c r="C67" s="2" t="str">
        <f t="shared" ref="C67:C130" si="1">B67&amp;":"&amp;A67</f>
        <v>Bordetella sp.:3270</v>
      </c>
      <c r="D67" t="s">
        <v>411</v>
      </c>
    </row>
    <row r="68" spans="1:4">
      <c r="A68" s="1">
        <v>8501</v>
      </c>
      <c r="B68" s="1" t="s">
        <v>963</v>
      </c>
      <c r="C68" s="2" t="str">
        <f t="shared" si="1"/>
        <v>Borrelia burgdorferi:8501</v>
      </c>
      <c r="D68" t="s">
        <v>412</v>
      </c>
    </row>
    <row r="69" spans="1:4">
      <c r="A69" s="1">
        <v>8500</v>
      </c>
      <c r="B69" s="1" t="s">
        <v>964</v>
      </c>
      <c r="C69" s="2" t="str">
        <f t="shared" si="1"/>
        <v>Borrelia sp.:8500</v>
      </c>
      <c r="D69" t="s">
        <v>413</v>
      </c>
    </row>
    <row r="70" spans="1:4">
      <c r="A70" s="1">
        <v>9817</v>
      </c>
      <c r="B70" s="1" t="s">
        <v>965</v>
      </c>
      <c r="C70" s="2" t="str">
        <f t="shared" si="1"/>
        <v>Brachyspira:9817</v>
      </c>
      <c r="D70" t="s">
        <v>414</v>
      </c>
    </row>
    <row r="71" spans="1:4">
      <c r="A71" s="1">
        <v>9818</v>
      </c>
      <c r="B71" s="1" t="s">
        <v>966</v>
      </c>
      <c r="C71" s="2" t="str">
        <f t="shared" si="1"/>
        <v>Bradyrhizobium:9818</v>
      </c>
      <c r="D71" t="s">
        <v>415</v>
      </c>
    </row>
    <row r="72" spans="1:4">
      <c r="A72" s="1">
        <v>9819</v>
      </c>
      <c r="B72" s="1" t="s">
        <v>967</v>
      </c>
      <c r="C72" s="2" t="str">
        <f t="shared" si="1"/>
        <v>Brevibacterium:9819</v>
      </c>
      <c r="D72" t="s">
        <v>416</v>
      </c>
    </row>
    <row r="73" spans="1:4">
      <c r="A73" s="1">
        <v>9820</v>
      </c>
      <c r="B73" s="1" t="s">
        <v>968</v>
      </c>
      <c r="C73" s="2" t="str">
        <f t="shared" si="1"/>
        <v>Brevundimonas:9820</v>
      </c>
      <c r="D73" t="s">
        <v>417</v>
      </c>
    </row>
    <row r="74" spans="1:4">
      <c r="A74" s="1">
        <v>9821</v>
      </c>
      <c r="B74" s="1" t="s">
        <v>969</v>
      </c>
      <c r="C74" s="2" t="str">
        <f t="shared" si="1"/>
        <v>Brochothrix:9821</v>
      </c>
      <c r="D74" t="s">
        <v>418</v>
      </c>
    </row>
    <row r="75" spans="1:4">
      <c r="A75" s="1">
        <v>3556</v>
      </c>
      <c r="B75" s="1" t="s">
        <v>970</v>
      </c>
      <c r="C75" s="2" t="str">
        <f t="shared" si="1"/>
        <v>Brucella melitensis:3556</v>
      </c>
      <c r="D75" t="s">
        <v>419</v>
      </c>
    </row>
    <row r="76" spans="1:4">
      <c r="A76" s="1">
        <v>3551</v>
      </c>
      <c r="B76" s="1" t="s">
        <v>971</v>
      </c>
      <c r="C76" s="2" t="str">
        <f t="shared" si="1"/>
        <v>Brucella melitensis biovar. abortus:3551</v>
      </c>
      <c r="D76" t="s">
        <v>420</v>
      </c>
    </row>
    <row r="77" spans="1:4">
      <c r="A77" s="1">
        <v>3554</v>
      </c>
      <c r="B77" s="1" t="s">
        <v>972</v>
      </c>
      <c r="C77" s="2" t="str">
        <f t="shared" si="1"/>
        <v>Brucella melitensis biovar. canis:3554</v>
      </c>
      <c r="D77" t="s">
        <v>421</v>
      </c>
    </row>
    <row r="78" spans="1:4">
      <c r="A78" s="1">
        <v>3553</v>
      </c>
      <c r="B78" s="1" t="s">
        <v>973</v>
      </c>
      <c r="C78" s="2" t="str">
        <f t="shared" si="1"/>
        <v>Brucella melitensis biovar. suis:3553</v>
      </c>
      <c r="D78" t="s">
        <v>422</v>
      </c>
    </row>
    <row r="79" spans="1:4">
      <c r="A79" s="1">
        <v>3550</v>
      </c>
      <c r="B79" s="1" t="s">
        <v>974</v>
      </c>
      <c r="C79" s="2" t="str">
        <f t="shared" si="1"/>
        <v>Brucella sp.:3550</v>
      </c>
      <c r="D79" t="s">
        <v>423</v>
      </c>
    </row>
    <row r="80" spans="1:4">
      <c r="A80" s="1">
        <v>9822</v>
      </c>
      <c r="B80" s="1" t="s">
        <v>975</v>
      </c>
      <c r="C80" s="2" t="str">
        <f t="shared" si="1"/>
        <v>Budvicia:9822</v>
      </c>
      <c r="D80" t="s">
        <v>424</v>
      </c>
    </row>
    <row r="81" spans="1:4">
      <c r="A81" s="1">
        <v>4051</v>
      </c>
      <c r="B81" s="1" t="s">
        <v>976</v>
      </c>
      <c r="C81" s="2" t="str">
        <f t="shared" si="1"/>
        <v>Burkholderia cepacia:4051</v>
      </c>
      <c r="D81" t="s">
        <v>425</v>
      </c>
    </row>
    <row r="82" spans="1:4">
      <c r="A82" s="1">
        <v>4052</v>
      </c>
      <c r="B82" s="1" t="s">
        <v>977</v>
      </c>
      <c r="C82" s="2" t="str">
        <f t="shared" si="1"/>
        <v>Burkholderia mallei:4052</v>
      </c>
      <c r="D82" t="s">
        <v>426</v>
      </c>
    </row>
    <row r="83" spans="1:4">
      <c r="A83" s="1">
        <v>4053</v>
      </c>
      <c r="B83" s="1" t="s">
        <v>978</v>
      </c>
      <c r="C83" s="2" t="str">
        <f t="shared" si="1"/>
        <v>Burkholderia pseudomallei:4053</v>
      </c>
      <c r="D83" t="s">
        <v>427</v>
      </c>
    </row>
    <row r="84" spans="1:4">
      <c r="A84" s="1">
        <v>4050</v>
      </c>
      <c r="B84" s="1" t="s">
        <v>979</v>
      </c>
      <c r="C84" s="2" t="str">
        <f t="shared" si="1"/>
        <v>Burkholderia sp.:4050</v>
      </c>
      <c r="D84" t="s">
        <v>428</v>
      </c>
    </row>
    <row r="85" spans="1:4">
      <c r="A85" s="1">
        <v>2671</v>
      </c>
      <c r="B85" s="1" t="s">
        <v>980</v>
      </c>
      <c r="C85" s="2" t="str">
        <f t="shared" si="1"/>
        <v>Buttiauxella agrestis:2671</v>
      </c>
      <c r="D85" t="s">
        <v>429</v>
      </c>
    </row>
    <row r="86" spans="1:4">
      <c r="A86" s="1">
        <v>2670</v>
      </c>
      <c r="B86" s="1" t="s">
        <v>981</v>
      </c>
      <c r="C86" s="2" t="str">
        <f t="shared" si="1"/>
        <v>Buttiauxella sp.:2670</v>
      </c>
      <c r="D86" t="s">
        <v>430</v>
      </c>
    </row>
    <row r="87" spans="1:4">
      <c r="A87" s="1">
        <v>9823</v>
      </c>
      <c r="B87" s="1" t="s">
        <v>982</v>
      </c>
      <c r="C87" s="2" t="str">
        <f t="shared" si="1"/>
        <v>Butyrivibrio:9823</v>
      </c>
      <c r="D87" t="s">
        <v>431</v>
      </c>
    </row>
    <row r="88" spans="1:4">
      <c r="A88" s="1">
        <v>9824</v>
      </c>
      <c r="B88" s="1" t="s">
        <v>983</v>
      </c>
      <c r="C88" s="2" t="str">
        <f t="shared" si="1"/>
        <v>Calymmatobacterium:9824</v>
      </c>
      <c r="D88" t="s">
        <v>432</v>
      </c>
    </row>
    <row r="89" spans="1:4">
      <c r="A89" s="1">
        <v>3702</v>
      </c>
      <c r="B89" s="1" t="s">
        <v>984</v>
      </c>
      <c r="C89" s="2" t="str">
        <f t="shared" si="1"/>
        <v>Campylobacter coli:3702</v>
      </c>
      <c r="D89" t="s">
        <v>433</v>
      </c>
    </row>
    <row r="90" spans="1:4">
      <c r="A90" s="1">
        <v>3703</v>
      </c>
      <c r="B90" s="1" t="s">
        <v>985</v>
      </c>
      <c r="C90" s="2" t="str">
        <f t="shared" si="1"/>
        <v>Campylobacter fetus subsp. fetus:3703</v>
      </c>
      <c r="D90" t="s">
        <v>434</v>
      </c>
    </row>
    <row r="91" spans="1:4">
      <c r="A91" s="1">
        <v>3701</v>
      </c>
      <c r="B91" s="1" t="s">
        <v>986</v>
      </c>
      <c r="C91" s="2" t="str">
        <f t="shared" si="1"/>
        <v>Campylobacter jejuni subsp. jejuni:3701</v>
      </c>
      <c r="D91" t="s">
        <v>435</v>
      </c>
    </row>
    <row r="92" spans="1:4">
      <c r="A92" s="1">
        <v>3704</v>
      </c>
      <c r="B92" s="1" t="s">
        <v>987</v>
      </c>
      <c r="C92" s="2" t="str">
        <f t="shared" si="1"/>
        <v>Campylobacter jejuni/coli:3704</v>
      </c>
      <c r="D92" t="s">
        <v>436</v>
      </c>
    </row>
    <row r="93" spans="1:4">
      <c r="A93" s="1">
        <v>3700</v>
      </c>
      <c r="B93" s="1" t="s">
        <v>988</v>
      </c>
      <c r="C93" s="2" t="str">
        <f t="shared" si="1"/>
        <v>Campylobacter sp.:3700</v>
      </c>
      <c r="D93" t="s">
        <v>437</v>
      </c>
    </row>
    <row r="94" spans="1:4">
      <c r="A94" s="1">
        <v>7001</v>
      </c>
      <c r="B94" s="1" t="s">
        <v>989</v>
      </c>
      <c r="C94" s="2" t="str">
        <f t="shared" si="1"/>
        <v>Candida albicans:7001</v>
      </c>
      <c r="D94" t="s">
        <v>438</v>
      </c>
    </row>
    <row r="95" spans="1:4">
      <c r="A95" s="1">
        <v>7007</v>
      </c>
      <c r="B95" s="1" t="s">
        <v>990</v>
      </c>
      <c r="C95" s="2" t="str">
        <f t="shared" si="1"/>
        <v>Candida dubliniensis:7007</v>
      </c>
      <c r="D95" t="s">
        <v>439</v>
      </c>
    </row>
    <row r="96" spans="1:4">
      <c r="A96" s="1">
        <v>7003</v>
      </c>
      <c r="B96" s="1" t="s">
        <v>991</v>
      </c>
      <c r="C96" s="2" t="str">
        <f t="shared" si="1"/>
        <v>Candida glabrata:7003</v>
      </c>
      <c r="D96" t="s">
        <v>440</v>
      </c>
    </row>
    <row r="97" spans="1:4">
      <c r="A97" s="1">
        <v>7006</v>
      </c>
      <c r="B97" s="1" t="s">
        <v>992</v>
      </c>
      <c r="C97" s="2" t="str">
        <f t="shared" si="1"/>
        <v>Candida guilliermondii:7006</v>
      </c>
      <c r="D97" t="s">
        <v>441</v>
      </c>
    </row>
    <row r="98" spans="1:4">
      <c r="A98" s="1">
        <v>7005</v>
      </c>
      <c r="B98" s="1" t="s">
        <v>993</v>
      </c>
      <c r="C98" s="2" t="str">
        <f t="shared" si="1"/>
        <v>Candida krusei:7005</v>
      </c>
      <c r="D98" t="s">
        <v>442</v>
      </c>
    </row>
    <row r="99" spans="1:4">
      <c r="A99" s="1">
        <v>7004</v>
      </c>
      <c r="B99" s="1" t="s">
        <v>994</v>
      </c>
      <c r="C99" s="2" t="str">
        <f t="shared" si="1"/>
        <v>Candida parapsilosis:7004</v>
      </c>
      <c r="D99" t="s">
        <v>443</v>
      </c>
    </row>
    <row r="100" spans="1:4">
      <c r="A100" s="1">
        <v>7000</v>
      </c>
      <c r="B100" s="1" t="s">
        <v>995</v>
      </c>
      <c r="C100" s="2" t="str">
        <f t="shared" si="1"/>
        <v>Candida sp.:7000</v>
      </c>
      <c r="D100" t="s">
        <v>444</v>
      </c>
    </row>
    <row r="101" spans="1:4">
      <c r="A101" s="1">
        <v>7002</v>
      </c>
      <c r="B101" s="1" t="s">
        <v>996</v>
      </c>
      <c r="C101" s="2" t="str">
        <f t="shared" si="1"/>
        <v>Candida tropicalis:7002</v>
      </c>
      <c r="D101" t="s">
        <v>445</v>
      </c>
    </row>
    <row r="102" spans="1:4">
      <c r="A102" s="1">
        <v>3430</v>
      </c>
      <c r="B102" s="1" t="s">
        <v>997</v>
      </c>
      <c r="C102" s="2" t="str">
        <f t="shared" si="1"/>
        <v>Capnocytophaga sp.:3430</v>
      </c>
      <c r="D102" t="s">
        <v>446</v>
      </c>
    </row>
    <row r="103" spans="1:4">
      <c r="A103" s="1">
        <v>3451</v>
      </c>
      <c r="B103" s="1" t="s">
        <v>998</v>
      </c>
      <c r="C103" s="2" t="str">
        <f t="shared" si="1"/>
        <v>Cardiobacterium hominis:3451</v>
      </c>
      <c r="D103" t="s">
        <v>447</v>
      </c>
    </row>
    <row r="104" spans="1:4">
      <c r="A104" s="1">
        <v>3450</v>
      </c>
      <c r="B104" s="1" t="s">
        <v>999</v>
      </c>
      <c r="C104" s="2" t="str">
        <f t="shared" si="1"/>
        <v>Cardiobacterium sp.:3450</v>
      </c>
      <c r="D104" t="s">
        <v>448</v>
      </c>
    </row>
    <row r="105" spans="1:4">
      <c r="A105" s="1">
        <v>9825</v>
      </c>
      <c r="B105" s="1" t="s">
        <v>1000</v>
      </c>
      <c r="C105" s="2" t="str">
        <f t="shared" si="1"/>
        <v>Catonella:9825</v>
      </c>
      <c r="D105" t="s">
        <v>449</v>
      </c>
    </row>
    <row r="106" spans="1:4">
      <c r="A106" s="1">
        <v>2641</v>
      </c>
      <c r="B106" s="1" t="s">
        <v>1001</v>
      </c>
      <c r="C106" s="2" t="str">
        <f t="shared" si="1"/>
        <v>Cedecea davisae:2641</v>
      </c>
      <c r="D106" t="s">
        <v>450</v>
      </c>
    </row>
    <row r="107" spans="1:4">
      <c r="A107" s="1">
        <v>2640</v>
      </c>
      <c r="B107" s="1" t="s">
        <v>1002</v>
      </c>
      <c r="C107" s="2" t="str">
        <f t="shared" si="1"/>
        <v>Cedecea sp.:2640</v>
      </c>
      <c r="D107" t="s">
        <v>451</v>
      </c>
    </row>
    <row r="108" spans="1:4">
      <c r="A108" s="1">
        <v>9826</v>
      </c>
      <c r="B108" s="1" t="s">
        <v>1003</v>
      </c>
      <c r="C108" s="2" t="str">
        <f t="shared" si="1"/>
        <v>Cellulomonas:9826</v>
      </c>
      <c r="D108" t="s">
        <v>452</v>
      </c>
    </row>
    <row r="109" spans="1:4">
      <c r="A109" s="1">
        <v>8200</v>
      </c>
      <c r="B109" s="1" t="s">
        <v>1004</v>
      </c>
      <c r="C109" s="2" t="str">
        <f t="shared" si="1"/>
        <v>Chlamydia sp.:8200</v>
      </c>
      <c r="D109" t="s">
        <v>453</v>
      </c>
    </row>
    <row r="110" spans="1:4">
      <c r="A110" s="1">
        <v>8201</v>
      </c>
      <c r="B110" s="1" t="s">
        <v>1005</v>
      </c>
      <c r="C110" s="2" t="str">
        <f t="shared" si="1"/>
        <v>Chlamydia trachomatis:8201</v>
      </c>
      <c r="D110" t="s">
        <v>454</v>
      </c>
    </row>
    <row r="111" spans="1:4">
      <c r="A111" s="1">
        <v>8204</v>
      </c>
      <c r="B111" s="1" t="s">
        <v>1006</v>
      </c>
      <c r="C111" s="2" t="str">
        <f t="shared" si="1"/>
        <v>Chlamydophila pecorum:8204</v>
      </c>
      <c r="D111" t="s">
        <v>455</v>
      </c>
    </row>
    <row r="112" spans="1:4">
      <c r="A112" s="1">
        <v>8203</v>
      </c>
      <c r="B112" s="1" t="s">
        <v>1007</v>
      </c>
      <c r="C112" s="2" t="str">
        <f t="shared" si="1"/>
        <v>Chlamydophila pneumoniae:8203</v>
      </c>
      <c r="D112" t="s">
        <v>456</v>
      </c>
    </row>
    <row r="113" spans="1:4">
      <c r="A113" s="1">
        <v>8202</v>
      </c>
      <c r="B113" s="1" t="s">
        <v>1008</v>
      </c>
      <c r="C113" s="2" t="str">
        <f t="shared" si="1"/>
        <v>Chlamydophila psittaci:8202</v>
      </c>
      <c r="D113" t="s">
        <v>457</v>
      </c>
    </row>
    <row r="114" spans="1:4">
      <c r="A114" s="1">
        <v>8210</v>
      </c>
      <c r="B114" s="1" t="s">
        <v>1009</v>
      </c>
      <c r="C114" s="2" t="str">
        <f t="shared" si="1"/>
        <v>Chlamydophila sp.:8210</v>
      </c>
      <c r="D114" t="s">
        <v>458</v>
      </c>
    </row>
    <row r="115" spans="1:4">
      <c r="A115" s="1">
        <v>9827</v>
      </c>
      <c r="B115" s="1" t="s">
        <v>1010</v>
      </c>
      <c r="C115" s="2" t="str">
        <f t="shared" si="1"/>
        <v>Chromobacterium:9827</v>
      </c>
      <c r="D115" t="s">
        <v>459</v>
      </c>
    </row>
    <row r="116" spans="1:4">
      <c r="A116" s="1">
        <v>4252</v>
      </c>
      <c r="B116" s="1" t="s">
        <v>1011</v>
      </c>
      <c r="C116" s="2" t="str">
        <f t="shared" si="1"/>
        <v>Chryseobacterium indologenes:4252</v>
      </c>
      <c r="D116" t="s">
        <v>460</v>
      </c>
    </row>
    <row r="117" spans="1:4">
      <c r="A117" s="1">
        <v>4251</v>
      </c>
      <c r="B117" s="1" t="s">
        <v>1012</v>
      </c>
      <c r="C117" s="2" t="str">
        <f t="shared" si="1"/>
        <v>Chryseobacterium meningosepticum:4251</v>
      </c>
      <c r="D117" t="s">
        <v>461</v>
      </c>
    </row>
    <row r="118" spans="1:4">
      <c r="A118" s="1">
        <v>4250</v>
      </c>
      <c r="B118" s="1" t="s">
        <v>1013</v>
      </c>
      <c r="C118" s="2" t="str">
        <f t="shared" si="1"/>
        <v>Chryseobacterium sp.:4250</v>
      </c>
      <c r="D118" t="s">
        <v>462</v>
      </c>
    </row>
    <row r="119" spans="1:4">
      <c r="A119" s="1">
        <v>4551</v>
      </c>
      <c r="B119" s="1" t="s">
        <v>1014</v>
      </c>
      <c r="C119" s="2" t="str">
        <f t="shared" si="1"/>
        <v>Chryseomonas luteola:4551</v>
      </c>
      <c r="D119" t="s">
        <v>463</v>
      </c>
    </row>
    <row r="120" spans="1:4">
      <c r="A120" s="1">
        <v>4550</v>
      </c>
      <c r="B120" s="1" t="s">
        <v>1015</v>
      </c>
      <c r="C120" s="2" t="str">
        <f t="shared" si="1"/>
        <v>Chryseomonas sp.:4550</v>
      </c>
      <c r="D120" t="s">
        <v>464</v>
      </c>
    </row>
    <row r="121" spans="1:4">
      <c r="A121" s="1">
        <v>2053</v>
      </c>
      <c r="B121" s="1" t="s">
        <v>1016</v>
      </c>
      <c r="C121" s="2" t="str">
        <f t="shared" si="1"/>
        <v>Citrobacter amalonaticus:2053</v>
      </c>
      <c r="D121" t="s">
        <v>465</v>
      </c>
    </row>
    <row r="122" spans="1:4">
      <c r="A122" s="1">
        <v>2055</v>
      </c>
      <c r="B122" s="1" t="s">
        <v>1017</v>
      </c>
      <c r="C122" s="2" t="str">
        <f t="shared" si="1"/>
        <v>Citrobacter braakii:2055</v>
      </c>
      <c r="D122" t="s">
        <v>466</v>
      </c>
    </row>
    <row r="123" spans="1:4">
      <c r="A123" s="1">
        <v>2051</v>
      </c>
      <c r="B123" s="1" t="s">
        <v>1018</v>
      </c>
      <c r="C123" s="2" t="str">
        <f t="shared" si="1"/>
        <v>Citrobacter freundii:2051</v>
      </c>
      <c r="D123" t="s">
        <v>467</v>
      </c>
    </row>
    <row r="124" spans="1:4">
      <c r="A124" s="1">
        <v>2052</v>
      </c>
      <c r="B124" s="1" t="s">
        <v>1019</v>
      </c>
      <c r="C124" s="2" t="str">
        <f t="shared" si="1"/>
        <v>Citrobacter koseri:2052</v>
      </c>
      <c r="D124" t="s">
        <v>468</v>
      </c>
    </row>
    <row r="125" spans="1:4">
      <c r="A125" s="1">
        <v>2050</v>
      </c>
      <c r="B125" s="1" t="s">
        <v>1020</v>
      </c>
      <c r="C125" s="2" t="str">
        <f t="shared" si="1"/>
        <v>Citrobacter sp.:2050</v>
      </c>
      <c r="D125" t="s">
        <v>469</v>
      </c>
    </row>
    <row r="126" spans="1:4">
      <c r="A126" s="1">
        <v>7340</v>
      </c>
      <c r="B126" s="1" t="s">
        <v>1021</v>
      </c>
      <c r="C126" s="2" t="str">
        <f t="shared" si="1"/>
        <v>Cladosporium sp.:7340</v>
      </c>
      <c r="D126" t="s">
        <v>470</v>
      </c>
    </row>
    <row r="127" spans="1:4">
      <c r="A127" s="1">
        <v>5054</v>
      </c>
      <c r="B127" s="1" t="s">
        <v>1022</v>
      </c>
      <c r="C127" s="2" t="str">
        <f t="shared" si="1"/>
        <v>Clostridium botulinum:5054</v>
      </c>
      <c r="D127" t="s">
        <v>471</v>
      </c>
    </row>
    <row r="128" spans="1:4">
      <c r="A128" s="1">
        <v>5051</v>
      </c>
      <c r="B128" s="1" t="s">
        <v>1023</v>
      </c>
      <c r="C128" s="2" t="str">
        <f t="shared" si="1"/>
        <v>Clostridium difficile:5051</v>
      </c>
      <c r="D128" t="s">
        <v>472</v>
      </c>
    </row>
    <row r="129" spans="1:4">
      <c r="A129" s="1">
        <v>5052</v>
      </c>
      <c r="B129" s="1" t="s">
        <v>1024</v>
      </c>
      <c r="C129" s="2" t="str">
        <f t="shared" si="1"/>
        <v>Clostridium perfringens:5052</v>
      </c>
      <c r="D129" t="s">
        <v>473</v>
      </c>
    </row>
    <row r="130" spans="1:4">
      <c r="A130" s="1">
        <v>5055</v>
      </c>
      <c r="B130" s="1" t="s">
        <v>1025</v>
      </c>
      <c r="C130" s="2" t="str">
        <f t="shared" si="1"/>
        <v>Clostridium septicum:5055</v>
      </c>
      <c r="D130" t="s">
        <v>474</v>
      </c>
    </row>
    <row r="131" spans="1:4">
      <c r="A131" s="1">
        <v>5050</v>
      </c>
      <c r="B131" s="1" t="s">
        <v>1026</v>
      </c>
      <c r="C131" s="2" t="str">
        <f t="shared" ref="C131:C194" si="2">B131&amp;":"&amp;A131</f>
        <v>Clostridium sp.:5050</v>
      </c>
      <c r="D131" t="s">
        <v>475</v>
      </c>
    </row>
    <row r="132" spans="1:4">
      <c r="A132" s="1">
        <v>5053</v>
      </c>
      <c r="B132" s="1" t="s">
        <v>1027</v>
      </c>
      <c r="C132" s="2" t="str">
        <f t="shared" si="2"/>
        <v>Clostridium tetani:5053</v>
      </c>
      <c r="D132" t="s">
        <v>476</v>
      </c>
    </row>
    <row r="133" spans="1:4">
      <c r="A133" s="1">
        <v>7531</v>
      </c>
      <c r="B133" s="1" t="s">
        <v>1028</v>
      </c>
      <c r="C133" s="2" t="str">
        <f t="shared" si="2"/>
        <v>Coccidioides immitis:7531</v>
      </c>
      <c r="D133" t="s">
        <v>477</v>
      </c>
    </row>
    <row r="134" spans="1:4">
      <c r="A134" s="1">
        <v>7530</v>
      </c>
      <c r="B134" s="1" t="s">
        <v>1029</v>
      </c>
      <c r="C134" s="2" t="str">
        <f t="shared" si="2"/>
        <v>Coccidioides sp.:7530</v>
      </c>
      <c r="D134" t="s">
        <v>478</v>
      </c>
    </row>
    <row r="135" spans="1:4">
      <c r="A135" s="1">
        <v>4600</v>
      </c>
      <c r="B135" s="1" t="s">
        <v>1030</v>
      </c>
      <c r="C135" s="2" t="str">
        <f t="shared" si="2"/>
        <v>Comamonas sp.:4600</v>
      </c>
      <c r="D135" t="s">
        <v>479</v>
      </c>
    </row>
    <row r="136" spans="1:4">
      <c r="A136" s="1">
        <v>9999</v>
      </c>
      <c r="B136" s="1" t="s">
        <v>1031</v>
      </c>
      <c r="C136" s="2" t="str">
        <f t="shared" si="2"/>
        <v>Comments only:9999</v>
      </c>
      <c r="D136" t="s">
        <v>480</v>
      </c>
    </row>
    <row r="137" spans="1:4">
      <c r="A137" s="1">
        <v>6001</v>
      </c>
      <c r="B137" s="1" t="s">
        <v>1032</v>
      </c>
      <c r="C137" s="2" t="str">
        <f t="shared" si="2"/>
        <v>Corynebacterium diphtheriae:6001</v>
      </c>
      <c r="D137" t="s">
        <v>481</v>
      </c>
    </row>
    <row r="138" spans="1:4">
      <c r="A138" s="1">
        <v>6002</v>
      </c>
      <c r="B138" s="1" t="s">
        <v>1033</v>
      </c>
      <c r="C138" s="2" t="str">
        <f t="shared" si="2"/>
        <v>Corynebacterium jeikeium:6002</v>
      </c>
      <c r="D138" t="s">
        <v>482</v>
      </c>
    </row>
    <row r="139" spans="1:4">
      <c r="A139" s="1">
        <v>6000</v>
      </c>
      <c r="B139" s="1" t="s">
        <v>1034</v>
      </c>
      <c r="C139" s="2" t="str">
        <f t="shared" si="2"/>
        <v>Corynebacterium sp.:6000</v>
      </c>
      <c r="D139" t="s">
        <v>483</v>
      </c>
    </row>
    <row r="140" spans="1:4">
      <c r="A140" s="1">
        <v>9829</v>
      </c>
      <c r="B140" s="1" t="s">
        <v>1035</v>
      </c>
      <c r="C140" s="2" t="str">
        <f t="shared" si="2"/>
        <v>Coxiella:9829</v>
      </c>
      <c r="D140" t="s">
        <v>484</v>
      </c>
    </row>
    <row r="141" spans="1:4">
      <c r="A141" s="1">
        <v>7111</v>
      </c>
      <c r="B141" s="1" t="s">
        <v>1036</v>
      </c>
      <c r="C141" s="2" t="str">
        <f t="shared" si="2"/>
        <v>Cryptococcus neoformans:7111</v>
      </c>
      <c r="D141" t="s">
        <v>485</v>
      </c>
    </row>
    <row r="142" spans="1:4">
      <c r="A142" s="1">
        <v>7110</v>
      </c>
      <c r="B142" s="1" t="s">
        <v>1037</v>
      </c>
      <c r="C142" s="2" t="str">
        <f t="shared" si="2"/>
        <v>Cryptococcus sp.:7110</v>
      </c>
      <c r="D142" t="s">
        <v>486</v>
      </c>
    </row>
    <row r="143" spans="1:4">
      <c r="A143" s="1">
        <v>9012</v>
      </c>
      <c r="B143" s="1" t="s">
        <v>1038</v>
      </c>
      <c r="C143" s="2" t="str">
        <f t="shared" si="2"/>
        <v>Cryptosporidium muris:9012</v>
      </c>
      <c r="D143" t="s">
        <v>487</v>
      </c>
    </row>
    <row r="144" spans="1:4">
      <c r="A144" s="1">
        <v>9011</v>
      </c>
      <c r="B144" s="1" t="s">
        <v>1039</v>
      </c>
      <c r="C144" s="2" t="str">
        <f t="shared" si="2"/>
        <v>Cryptosporidium parvum:9011</v>
      </c>
      <c r="D144" t="s">
        <v>488</v>
      </c>
    </row>
    <row r="145" spans="1:4">
      <c r="A145" s="1">
        <v>9010</v>
      </c>
      <c r="B145" s="1" t="s">
        <v>1040</v>
      </c>
      <c r="C145" s="2" t="str">
        <f t="shared" si="2"/>
        <v>Cryptosporidium sp.:9010</v>
      </c>
      <c r="D145" t="s">
        <v>489</v>
      </c>
    </row>
    <row r="146" spans="1:4">
      <c r="A146" s="1">
        <v>9021</v>
      </c>
      <c r="B146" s="1" t="s">
        <v>1041</v>
      </c>
      <c r="C146" s="2" t="str">
        <f t="shared" si="2"/>
        <v>Cyclospora cayetanensis:9021</v>
      </c>
      <c r="D146" t="s">
        <v>490</v>
      </c>
    </row>
    <row r="147" spans="1:4">
      <c r="A147" s="1">
        <v>9020</v>
      </c>
      <c r="B147" s="1" t="s">
        <v>1042</v>
      </c>
      <c r="C147" s="2" t="str">
        <f t="shared" si="2"/>
        <v>Cyclospora sp.:9020</v>
      </c>
      <c r="D147" t="s">
        <v>491</v>
      </c>
    </row>
    <row r="148" spans="1:4">
      <c r="A148" s="1">
        <v>4601</v>
      </c>
      <c r="B148" s="1" t="s">
        <v>1043</v>
      </c>
      <c r="C148" s="2" t="str">
        <f t="shared" si="2"/>
        <v>Delftia acidovorans:4601</v>
      </c>
      <c r="D148" t="s">
        <v>492</v>
      </c>
    </row>
    <row r="149" spans="1:4">
      <c r="A149" s="1">
        <v>4610</v>
      </c>
      <c r="B149" s="1" t="s">
        <v>1044</v>
      </c>
      <c r="C149" s="2" t="str">
        <f t="shared" si="2"/>
        <v>Delftia sp.:4610</v>
      </c>
      <c r="D149" t="s">
        <v>493</v>
      </c>
    </row>
    <row r="150" spans="1:4">
      <c r="A150" s="1">
        <v>9830</v>
      </c>
      <c r="B150" s="1" t="s">
        <v>1045</v>
      </c>
      <c r="C150" s="2" t="str">
        <f t="shared" si="2"/>
        <v>Dermabacter:9830</v>
      </c>
      <c r="D150" t="s">
        <v>494</v>
      </c>
    </row>
    <row r="151" spans="1:4">
      <c r="A151" s="1">
        <v>9831</v>
      </c>
      <c r="B151" s="1" t="s">
        <v>1046</v>
      </c>
      <c r="C151" s="2" t="str">
        <f t="shared" si="2"/>
        <v>Dermacoccus:9831</v>
      </c>
      <c r="D151" t="s">
        <v>495</v>
      </c>
    </row>
    <row r="152" spans="1:4">
      <c r="A152" s="1">
        <v>9832</v>
      </c>
      <c r="B152" s="1" t="s">
        <v>1047</v>
      </c>
      <c r="C152" s="2" t="str">
        <f t="shared" si="2"/>
        <v>Dermatophilus:9832</v>
      </c>
      <c r="D152" t="s">
        <v>496</v>
      </c>
    </row>
    <row r="153" spans="1:4">
      <c r="A153" s="1">
        <v>9834</v>
      </c>
      <c r="B153" s="1" t="s">
        <v>1048</v>
      </c>
      <c r="C153" s="2" t="str">
        <f t="shared" si="2"/>
        <v>Desulfovibrio:9834</v>
      </c>
      <c r="D153" t="s">
        <v>497</v>
      </c>
    </row>
    <row r="154" spans="1:4">
      <c r="A154" s="1">
        <v>9835</v>
      </c>
      <c r="B154" s="1" t="s">
        <v>1049</v>
      </c>
      <c r="C154" s="2" t="str">
        <f t="shared" si="2"/>
        <v>Dialister:9835</v>
      </c>
      <c r="D154" t="s">
        <v>498</v>
      </c>
    </row>
    <row r="155" spans="1:4">
      <c r="A155" s="1">
        <v>9836</v>
      </c>
      <c r="B155" s="1" t="s">
        <v>1050</v>
      </c>
      <c r="C155" s="2" t="str">
        <f t="shared" si="2"/>
        <v>Dolosigranulum:9836</v>
      </c>
      <c r="D155" t="s">
        <v>499</v>
      </c>
    </row>
    <row r="156" spans="1:4">
      <c r="A156" s="1">
        <v>2620</v>
      </c>
      <c r="B156" s="1" t="s">
        <v>1051</v>
      </c>
      <c r="C156" s="2" t="str">
        <f t="shared" si="2"/>
        <v>Edwardsiella sp.:2620</v>
      </c>
      <c r="D156" t="s">
        <v>500</v>
      </c>
    </row>
    <row r="157" spans="1:4">
      <c r="A157" s="1">
        <v>2621</v>
      </c>
      <c r="B157" s="1" t="s">
        <v>1052</v>
      </c>
      <c r="C157" s="2" t="str">
        <f t="shared" si="2"/>
        <v>Edwardsiella tarda:2621</v>
      </c>
      <c r="D157" t="s">
        <v>501</v>
      </c>
    </row>
    <row r="158" spans="1:4">
      <c r="A158" s="1">
        <v>5101</v>
      </c>
      <c r="B158" s="1" t="s">
        <v>1053</v>
      </c>
      <c r="C158" s="2" t="str">
        <f t="shared" si="2"/>
        <v>Eggerthella lenta:5101</v>
      </c>
      <c r="D158" t="s">
        <v>502</v>
      </c>
    </row>
    <row r="159" spans="1:4">
      <c r="A159" s="1">
        <v>5110</v>
      </c>
      <c r="B159" s="1" t="s">
        <v>1054</v>
      </c>
      <c r="C159" s="2" t="str">
        <f t="shared" si="2"/>
        <v>Eggerthella sp.:5110</v>
      </c>
      <c r="D159" t="s">
        <v>503</v>
      </c>
    </row>
    <row r="160" spans="1:4">
      <c r="A160" s="1">
        <v>9837</v>
      </c>
      <c r="B160" s="1" t="s">
        <v>1055</v>
      </c>
      <c r="C160" s="2" t="str">
        <f t="shared" si="2"/>
        <v>Ehrlichia:9837</v>
      </c>
      <c r="D160" t="s">
        <v>504</v>
      </c>
    </row>
    <row r="161" spans="1:4">
      <c r="A161" s="1">
        <v>3471</v>
      </c>
      <c r="B161" s="1" t="s">
        <v>1056</v>
      </c>
      <c r="C161" s="2" t="str">
        <f t="shared" si="2"/>
        <v>Eikenella corrodens:3471</v>
      </c>
      <c r="D161" t="s">
        <v>505</v>
      </c>
    </row>
    <row r="162" spans="1:4">
      <c r="A162" s="1">
        <v>3470</v>
      </c>
      <c r="B162" s="1" t="s">
        <v>1057</v>
      </c>
      <c r="C162" s="2" t="str">
        <f t="shared" si="2"/>
        <v>Eikenella sp.:3470</v>
      </c>
      <c r="D162" t="s">
        <v>506</v>
      </c>
    </row>
    <row r="163" spans="1:4">
      <c r="A163" s="1">
        <v>9838</v>
      </c>
      <c r="B163" s="1" t="s">
        <v>1058</v>
      </c>
      <c r="C163" s="2" t="str">
        <f t="shared" si="2"/>
        <v>Empedobacter:9838</v>
      </c>
      <c r="D163" t="s">
        <v>507</v>
      </c>
    </row>
    <row r="164" spans="1:4">
      <c r="A164" s="1">
        <v>9001</v>
      </c>
      <c r="B164" s="1" t="s">
        <v>1059</v>
      </c>
      <c r="C164" s="2" t="str">
        <f t="shared" si="2"/>
        <v>Entamoeba histolytica:9001</v>
      </c>
      <c r="D164" t="s">
        <v>508</v>
      </c>
    </row>
    <row r="165" spans="1:4">
      <c r="A165" s="1">
        <v>9000</v>
      </c>
      <c r="B165" s="1" t="s">
        <v>1060</v>
      </c>
      <c r="C165" s="2" t="str">
        <f t="shared" si="2"/>
        <v>Entamoeba sp.:9000</v>
      </c>
      <c r="D165" t="s">
        <v>509</v>
      </c>
    </row>
    <row r="166" spans="1:4">
      <c r="A166" s="1">
        <v>2152</v>
      </c>
      <c r="B166" s="1" t="s">
        <v>1061</v>
      </c>
      <c r="C166" s="2" t="str">
        <f t="shared" si="2"/>
        <v>Enterobacter aerogenes:2152</v>
      </c>
      <c r="D166" t="s">
        <v>510</v>
      </c>
    </row>
    <row r="167" spans="1:4">
      <c r="A167" s="1">
        <v>2155</v>
      </c>
      <c r="B167" s="1" t="s">
        <v>1062</v>
      </c>
      <c r="C167" s="2" t="str">
        <f t="shared" si="2"/>
        <v>Enterobacter asburiae:2155</v>
      </c>
      <c r="D167" t="s">
        <v>511</v>
      </c>
    </row>
    <row r="168" spans="1:4">
      <c r="A168" s="1">
        <v>2156</v>
      </c>
      <c r="B168" s="1" t="s">
        <v>1063</v>
      </c>
      <c r="C168" s="2" t="str">
        <f t="shared" si="2"/>
        <v>Enterobacter cancerogenus:2156</v>
      </c>
      <c r="D168" t="s">
        <v>512</v>
      </c>
    </row>
    <row r="169" spans="1:4">
      <c r="A169" s="1">
        <v>2151</v>
      </c>
      <c r="B169" s="1" t="s">
        <v>1064</v>
      </c>
      <c r="C169" s="2" t="str">
        <f t="shared" si="2"/>
        <v>Enterobacter cloacae:2151</v>
      </c>
      <c r="D169" t="s">
        <v>513</v>
      </c>
    </row>
    <row r="170" spans="1:4">
      <c r="A170" s="1">
        <v>2154</v>
      </c>
      <c r="B170" s="1" t="s">
        <v>1065</v>
      </c>
      <c r="C170" s="2" t="str">
        <f t="shared" si="2"/>
        <v>Enterobacter gergoviae:2154</v>
      </c>
      <c r="D170" t="s">
        <v>514</v>
      </c>
    </row>
    <row r="171" spans="1:4">
      <c r="A171" s="1">
        <v>2153</v>
      </c>
      <c r="B171" s="1" t="s">
        <v>1066</v>
      </c>
      <c r="C171" s="2" t="str">
        <f t="shared" si="2"/>
        <v>Enterobacter sakazakii:2153</v>
      </c>
      <c r="D171" t="s">
        <v>515</v>
      </c>
    </row>
    <row r="172" spans="1:4">
      <c r="A172" s="1">
        <v>2150</v>
      </c>
      <c r="B172" s="1" t="s">
        <v>1067</v>
      </c>
      <c r="C172" s="2" t="str">
        <f t="shared" si="2"/>
        <v>Enterobacter sp.:2150</v>
      </c>
      <c r="D172" t="s">
        <v>516</v>
      </c>
    </row>
    <row r="173" spans="1:4">
      <c r="A173" s="1">
        <v>1209</v>
      </c>
      <c r="B173" s="1" t="s">
        <v>1068</v>
      </c>
      <c r="C173" s="2" t="str">
        <f t="shared" si="2"/>
        <v>Enterococcus avium:1209</v>
      </c>
      <c r="D173" t="s">
        <v>517</v>
      </c>
    </row>
    <row r="174" spans="1:4">
      <c r="A174" s="1">
        <v>1210</v>
      </c>
      <c r="B174" s="1" t="s">
        <v>1069</v>
      </c>
      <c r="C174" s="2" t="str">
        <f t="shared" si="2"/>
        <v>Enterococcus avium (VRE):1210</v>
      </c>
      <c r="D174" t="s">
        <v>518</v>
      </c>
    </row>
    <row r="175" spans="1:4">
      <c r="A175" s="1">
        <v>1215</v>
      </c>
      <c r="B175" s="1" t="s">
        <v>1070</v>
      </c>
      <c r="C175" s="2" t="str">
        <f t="shared" si="2"/>
        <v>Enterococcus casseliflavus:1215</v>
      </c>
      <c r="D175" t="s">
        <v>519</v>
      </c>
    </row>
    <row r="176" spans="1:4">
      <c r="A176" s="1">
        <v>1216</v>
      </c>
      <c r="B176" s="1" t="s">
        <v>1071</v>
      </c>
      <c r="C176" s="2" t="str">
        <f t="shared" si="2"/>
        <v>Enterococcus casseliflavus/gallinarum:1216</v>
      </c>
      <c r="D176" t="s">
        <v>520</v>
      </c>
    </row>
    <row r="177" spans="1:4">
      <c r="A177" s="1">
        <v>1213</v>
      </c>
      <c r="B177" s="1" t="s">
        <v>1072</v>
      </c>
      <c r="C177" s="2" t="str">
        <f t="shared" si="2"/>
        <v>Enterococcus durans:1213</v>
      </c>
      <c r="D177" t="s">
        <v>521</v>
      </c>
    </row>
    <row r="178" spans="1:4">
      <c r="A178" s="1">
        <v>1201</v>
      </c>
      <c r="B178" s="1" t="s">
        <v>1073</v>
      </c>
      <c r="C178" s="2" t="str">
        <f t="shared" si="2"/>
        <v>Enterococcus faecalis:1201</v>
      </c>
      <c r="D178" t="s">
        <v>522</v>
      </c>
    </row>
    <row r="179" spans="1:4">
      <c r="A179" s="1">
        <v>1202</v>
      </c>
      <c r="B179" s="1" t="s">
        <v>1074</v>
      </c>
      <c r="C179" s="2" t="str">
        <f t="shared" si="2"/>
        <v>Enterococcus faecalis (VRE):1202</v>
      </c>
      <c r="D179" t="s">
        <v>523</v>
      </c>
    </row>
    <row r="180" spans="1:4">
      <c r="A180" s="1">
        <v>1205</v>
      </c>
      <c r="B180" s="1" t="s">
        <v>1075</v>
      </c>
      <c r="C180" s="2" t="str">
        <f t="shared" si="2"/>
        <v>Enterococcus faecium:1205</v>
      </c>
      <c r="D180" t="s">
        <v>524</v>
      </c>
    </row>
    <row r="181" spans="1:4">
      <c r="A181" s="1">
        <v>1206</v>
      </c>
      <c r="B181" s="1" t="s">
        <v>1076</v>
      </c>
      <c r="C181" s="2" t="str">
        <f t="shared" si="2"/>
        <v>Enterococcus faecium (VRE):1206</v>
      </c>
      <c r="D181" t="s">
        <v>525</v>
      </c>
    </row>
    <row r="182" spans="1:4">
      <c r="A182" s="1">
        <v>1214</v>
      </c>
      <c r="B182" s="1" t="s">
        <v>1077</v>
      </c>
      <c r="C182" s="2" t="str">
        <f t="shared" si="2"/>
        <v>Enterococcus gallinarum:1214</v>
      </c>
      <c r="D182" t="s">
        <v>526</v>
      </c>
    </row>
    <row r="183" spans="1:4">
      <c r="A183" s="1">
        <v>1217</v>
      </c>
      <c r="B183" s="1" t="s">
        <v>1078</v>
      </c>
      <c r="C183" s="2" t="str">
        <f t="shared" si="2"/>
        <v>Enterococcus hirae:1217</v>
      </c>
      <c r="D183" t="s">
        <v>527</v>
      </c>
    </row>
    <row r="184" spans="1:4">
      <c r="A184" s="1">
        <v>1200</v>
      </c>
      <c r="B184" s="1" t="s">
        <v>1079</v>
      </c>
      <c r="C184" s="2" t="str">
        <f t="shared" si="2"/>
        <v>Enterococcus sp.:1200</v>
      </c>
      <c r="D184" t="s">
        <v>528</v>
      </c>
    </row>
    <row r="185" spans="1:4">
      <c r="A185" s="1">
        <v>7401</v>
      </c>
      <c r="B185" s="1" t="s">
        <v>1080</v>
      </c>
      <c r="C185" s="2" t="str">
        <f t="shared" si="2"/>
        <v>Epidermophyton floccosum:7401</v>
      </c>
      <c r="D185" t="s">
        <v>529</v>
      </c>
    </row>
    <row r="186" spans="1:4">
      <c r="A186" s="1">
        <v>7400</v>
      </c>
      <c r="B186" s="1" t="s">
        <v>1081</v>
      </c>
      <c r="C186" s="2" t="str">
        <f t="shared" si="2"/>
        <v>Epidermophyton sp.:7400</v>
      </c>
      <c r="D186" t="s">
        <v>530</v>
      </c>
    </row>
    <row r="187" spans="1:4">
      <c r="A187" s="1">
        <v>9839</v>
      </c>
      <c r="B187" s="1" t="s">
        <v>1082</v>
      </c>
      <c r="C187" s="2" t="str">
        <f t="shared" si="2"/>
        <v>Erwinia:9839</v>
      </c>
      <c r="D187" t="s">
        <v>531</v>
      </c>
    </row>
    <row r="188" spans="1:4">
      <c r="A188" s="1">
        <v>9840</v>
      </c>
      <c r="B188" s="1" t="s">
        <v>1083</v>
      </c>
      <c r="C188" s="2" t="str">
        <f t="shared" si="2"/>
        <v>Erysipelothrix:9840</v>
      </c>
      <c r="D188" t="s">
        <v>532</v>
      </c>
    </row>
    <row r="189" spans="1:4">
      <c r="A189" s="1">
        <v>2013</v>
      </c>
      <c r="B189" s="1" t="s">
        <v>1084</v>
      </c>
      <c r="C189" s="2" t="str">
        <f t="shared" si="2"/>
        <v>Escherichia albertii:2013</v>
      </c>
      <c r="D189" t="s">
        <v>1448</v>
      </c>
    </row>
    <row r="190" spans="1:4">
      <c r="A190" s="1">
        <v>2001</v>
      </c>
      <c r="B190" s="1" t="s">
        <v>1085</v>
      </c>
      <c r="C190" s="2" t="str">
        <f t="shared" si="2"/>
        <v>Escherichia coli:2001</v>
      </c>
      <c r="D190" t="s">
        <v>533</v>
      </c>
    </row>
    <row r="191" spans="1:4">
      <c r="A191" s="1">
        <v>2007</v>
      </c>
      <c r="B191" s="1" t="s">
        <v>1086</v>
      </c>
      <c r="C191" s="2" t="str">
        <f t="shared" si="2"/>
        <v>Escherichia coli ,enteroaggregative (EAEC):2007</v>
      </c>
      <c r="D191" t="s">
        <v>534</v>
      </c>
    </row>
    <row r="192" spans="1:4">
      <c r="A192" s="1">
        <v>2003</v>
      </c>
      <c r="B192" s="1" t="s">
        <v>1087</v>
      </c>
      <c r="C192" s="2" t="str">
        <f t="shared" si="2"/>
        <v>Escherichia coli ,enterohemorrhagic (EHEC):2003</v>
      </c>
      <c r="D192" t="s">
        <v>535</v>
      </c>
    </row>
    <row r="193" spans="1:4">
      <c r="A193" s="1">
        <v>2004</v>
      </c>
      <c r="B193" s="1" t="s">
        <v>1088</v>
      </c>
      <c r="C193" s="2" t="str">
        <f t="shared" si="2"/>
        <v>Escherichia coli ,enteroinvasive (EIEC):2004</v>
      </c>
      <c r="D193" t="s">
        <v>536</v>
      </c>
    </row>
    <row r="194" spans="1:4">
      <c r="A194" s="1">
        <v>2005</v>
      </c>
      <c r="B194" s="1" t="s">
        <v>1089</v>
      </c>
      <c r="C194" s="2" t="str">
        <f t="shared" si="2"/>
        <v>Escherichia coli ,enteropathogenic (EPEC):2005</v>
      </c>
      <c r="D194" t="s">
        <v>537</v>
      </c>
    </row>
    <row r="195" spans="1:4">
      <c r="A195" s="1">
        <v>2006</v>
      </c>
      <c r="B195" s="1" t="s">
        <v>1090</v>
      </c>
      <c r="C195" s="2" t="str">
        <f t="shared" ref="C195:C258" si="3">B195&amp;":"&amp;A195</f>
        <v>Escherichia coli ,enterotoxin-producing (ETEC):2006</v>
      </c>
      <c r="D195" t="s">
        <v>538</v>
      </c>
    </row>
    <row r="196" spans="1:4">
      <c r="A196" s="1">
        <v>2002</v>
      </c>
      <c r="B196" s="1" t="s">
        <v>1091</v>
      </c>
      <c r="C196" s="2" t="str">
        <f t="shared" si="3"/>
        <v>Escherichia coli ,pathogenic:2002</v>
      </c>
      <c r="D196" t="s">
        <v>539</v>
      </c>
    </row>
    <row r="197" spans="1:4">
      <c r="A197" s="1">
        <v>2011</v>
      </c>
      <c r="B197" s="1" t="s">
        <v>1092</v>
      </c>
      <c r="C197" s="2" t="str">
        <f t="shared" si="3"/>
        <v>Escherichia hermannii:2011</v>
      </c>
      <c r="D197" t="s">
        <v>540</v>
      </c>
    </row>
    <row r="198" spans="1:4">
      <c r="A198" s="1">
        <v>2000</v>
      </c>
      <c r="B198" s="1" t="s">
        <v>1093</v>
      </c>
      <c r="C198" s="2" t="str">
        <f t="shared" si="3"/>
        <v>Escherichia sp.:2000</v>
      </c>
      <c r="D198" t="s">
        <v>541</v>
      </c>
    </row>
    <row r="199" spans="1:4">
      <c r="A199" s="1">
        <v>2012</v>
      </c>
      <c r="B199" s="1" t="s">
        <v>1094</v>
      </c>
      <c r="C199" s="2" t="str">
        <f t="shared" si="3"/>
        <v>Escherichia vulneris:2012</v>
      </c>
      <c r="D199" t="s">
        <v>542</v>
      </c>
    </row>
    <row r="200" spans="1:4">
      <c r="A200" s="1">
        <v>5100</v>
      </c>
      <c r="B200" s="1" t="s">
        <v>1095</v>
      </c>
      <c r="C200" s="2" t="str">
        <f t="shared" si="3"/>
        <v>Eubacterium sp.:5100</v>
      </c>
      <c r="D200" t="s">
        <v>543</v>
      </c>
    </row>
    <row r="201" spans="1:4">
      <c r="A201" s="1">
        <v>2681</v>
      </c>
      <c r="B201" s="1" t="s">
        <v>1096</v>
      </c>
      <c r="C201" s="2" t="str">
        <f t="shared" si="3"/>
        <v>Ewingella americana:2681</v>
      </c>
      <c r="D201" t="s">
        <v>544</v>
      </c>
    </row>
    <row r="202" spans="1:4">
      <c r="A202" s="1">
        <v>2680</v>
      </c>
      <c r="B202" s="1" t="s">
        <v>1097</v>
      </c>
      <c r="C202" s="2" t="str">
        <f t="shared" si="3"/>
        <v>Ewingella sp.:2680</v>
      </c>
      <c r="D202" t="s">
        <v>545</v>
      </c>
    </row>
    <row r="203" spans="1:4">
      <c r="A203" s="1">
        <v>9841</v>
      </c>
      <c r="B203" s="1" t="s">
        <v>1098</v>
      </c>
      <c r="C203" s="2" t="str">
        <f t="shared" si="3"/>
        <v>Fibrobacter:9841</v>
      </c>
      <c r="D203" t="s">
        <v>546</v>
      </c>
    </row>
    <row r="204" spans="1:4">
      <c r="A204" s="1">
        <v>5001</v>
      </c>
      <c r="B204" s="1" t="s">
        <v>1099</v>
      </c>
      <c r="C204" s="2" t="str">
        <f t="shared" si="3"/>
        <v>Finegoldia magna:5001</v>
      </c>
      <c r="D204" t="s">
        <v>547</v>
      </c>
    </row>
    <row r="205" spans="1:4">
      <c r="A205" s="1">
        <v>5033</v>
      </c>
      <c r="B205" s="1" t="s">
        <v>1100</v>
      </c>
      <c r="C205" s="2" t="str">
        <f t="shared" si="3"/>
        <v>Finegoldia sp.:5033</v>
      </c>
      <c r="D205" t="s">
        <v>548</v>
      </c>
    </row>
    <row r="206" spans="1:4">
      <c r="A206" s="1">
        <v>4651</v>
      </c>
      <c r="B206" s="1" t="s">
        <v>1101</v>
      </c>
      <c r="C206" s="2" t="str">
        <f t="shared" si="3"/>
        <v>Flavimonas oryzihabitans:4651</v>
      </c>
      <c r="D206" t="s">
        <v>549</v>
      </c>
    </row>
    <row r="207" spans="1:4">
      <c r="A207" s="1">
        <v>4650</v>
      </c>
      <c r="B207" s="1" t="s">
        <v>1102</v>
      </c>
      <c r="C207" s="2" t="str">
        <f t="shared" si="3"/>
        <v>Flavimonas sp.:4650</v>
      </c>
      <c r="D207" t="s">
        <v>550</v>
      </c>
    </row>
    <row r="208" spans="1:4">
      <c r="A208" s="1">
        <v>4200</v>
      </c>
      <c r="B208" s="1" t="s">
        <v>1103</v>
      </c>
      <c r="C208" s="2" t="str">
        <f t="shared" si="3"/>
        <v>Flavobacterium sp.:4200</v>
      </c>
      <c r="D208" t="s">
        <v>551</v>
      </c>
    </row>
    <row r="209" spans="1:4">
      <c r="A209" s="1">
        <v>7351</v>
      </c>
      <c r="B209" s="1" t="s">
        <v>1104</v>
      </c>
      <c r="C209" s="2" t="str">
        <f t="shared" si="3"/>
        <v>Fonsecaea pedrosoi:7351</v>
      </c>
      <c r="D209" t="s">
        <v>552</v>
      </c>
    </row>
    <row r="210" spans="1:4">
      <c r="A210" s="1">
        <v>7350</v>
      </c>
      <c r="B210" s="1" t="s">
        <v>1105</v>
      </c>
      <c r="C210" s="2" t="str">
        <f t="shared" si="3"/>
        <v>Fonsecaea sp.:7350</v>
      </c>
      <c r="D210" t="s">
        <v>553</v>
      </c>
    </row>
    <row r="211" spans="1:4">
      <c r="A211" s="1">
        <v>3500</v>
      </c>
      <c r="B211" s="1" t="s">
        <v>1106</v>
      </c>
      <c r="C211" s="2" t="str">
        <f t="shared" si="3"/>
        <v>Francisella sp.:3500</v>
      </c>
      <c r="D211" t="s">
        <v>554</v>
      </c>
    </row>
    <row r="212" spans="1:4">
      <c r="A212" s="1">
        <v>3501</v>
      </c>
      <c r="B212" s="1" t="s">
        <v>1107</v>
      </c>
      <c r="C212" s="2" t="str">
        <f t="shared" si="3"/>
        <v>Francisella tularensis subsp. tularensis:3501</v>
      </c>
      <c r="D212" t="s">
        <v>555</v>
      </c>
    </row>
    <row r="213" spans="1:4">
      <c r="A213" s="1">
        <v>7421</v>
      </c>
      <c r="B213" s="1" t="s">
        <v>1108</v>
      </c>
      <c r="C213" s="2" t="str">
        <f t="shared" si="3"/>
        <v>Fusarium solani:7421</v>
      </c>
      <c r="D213" t="s">
        <v>556</v>
      </c>
    </row>
    <row r="214" spans="1:4">
      <c r="A214" s="1">
        <v>7420</v>
      </c>
      <c r="B214" s="1" t="s">
        <v>1109</v>
      </c>
      <c r="C214" s="2" t="str">
        <f t="shared" si="3"/>
        <v>Fusarium sp.:7420</v>
      </c>
      <c r="D214" t="s">
        <v>557</v>
      </c>
    </row>
    <row r="215" spans="1:4">
      <c r="A215" s="1">
        <v>5654</v>
      </c>
      <c r="B215" s="1" t="s">
        <v>1110</v>
      </c>
      <c r="C215" s="2" t="str">
        <f t="shared" si="3"/>
        <v>Fusobacterium mortiferum:5654</v>
      </c>
      <c r="D215" t="s">
        <v>558</v>
      </c>
    </row>
    <row r="216" spans="1:4">
      <c r="A216" s="1">
        <v>5653</v>
      </c>
      <c r="B216" s="1" t="s">
        <v>1111</v>
      </c>
      <c r="C216" s="2" t="str">
        <f t="shared" si="3"/>
        <v>Fusobacterium necrophorum subsp. necrophorum:5653</v>
      </c>
      <c r="D216" t="s">
        <v>559</v>
      </c>
    </row>
    <row r="217" spans="1:4">
      <c r="A217" s="1">
        <v>5651</v>
      </c>
      <c r="B217" s="1" t="s">
        <v>1112</v>
      </c>
      <c r="C217" s="2" t="str">
        <f t="shared" si="3"/>
        <v>Fusobacterium nucleatum subsp. nucleatum:5651</v>
      </c>
      <c r="D217" t="s">
        <v>560</v>
      </c>
    </row>
    <row r="218" spans="1:4">
      <c r="A218" s="1">
        <v>5650</v>
      </c>
      <c r="B218" s="1" t="s">
        <v>1113</v>
      </c>
      <c r="C218" s="2" t="str">
        <f t="shared" si="3"/>
        <v>Fusobacterium sp.:5650</v>
      </c>
      <c r="D218" t="s">
        <v>561</v>
      </c>
    </row>
    <row r="219" spans="1:4">
      <c r="A219" s="1">
        <v>5652</v>
      </c>
      <c r="B219" s="1" t="s">
        <v>1114</v>
      </c>
      <c r="C219" s="2" t="str">
        <f t="shared" si="3"/>
        <v>Fusobacterium varium:5652</v>
      </c>
      <c r="D219" t="s">
        <v>562</v>
      </c>
    </row>
    <row r="220" spans="1:4">
      <c r="A220" s="1">
        <v>3250</v>
      </c>
      <c r="B220" s="1" t="s">
        <v>1115</v>
      </c>
      <c r="C220" s="2" t="str">
        <f t="shared" si="3"/>
        <v>Gardnerella sp.:3250</v>
      </c>
      <c r="D220" t="s">
        <v>563</v>
      </c>
    </row>
    <row r="221" spans="1:4">
      <c r="A221" s="1">
        <v>3251</v>
      </c>
      <c r="B221" s="1" t="s">
        <v>1116</v>
      </c>
      <c r="C221" s="2" t="str">
        <f t="shared" si="3"/>
        <v>Gardnerella vaginalis:3251</v>
      </c>
      <c r="D221" t="s">
        <v>564</v>
      </c>
    </row>
    <row r="222" spans="1:4">
      <c r="A222" s="1">
        <v>9842</v>
      </c>
      <c r="B222" s="1" t="s">
        <v>1117</v>
      </c>
      <c r="C222" s="2" t="str">
        <f t="shared" si="3"/>
        <v>Gemella:9842</v>
      </c>
      <c r="D222" t="s">
        <v>565</v>
      </c>
    </row>
    <row r="223" spans="1:4">
      <c r="A223" s="1">
        <v>9041</v>
      </c>
      <c r="B223" s="1" t="s">
        <v>1118</v>
      </c>
      <c r="C223" s="2" t="str">
        <f t="shared" si="3"/>
        <v>Giardia lamblia:9041</v>
      </c>
      <c r="D223" t="s">
        <v>566</v>
      </c>
    </row>
    <row r="224" spans="1:4">
      <c r="A224" s="1">
        <v>9040</v>
      </c>
      <c r="B224" s="1" t="s">
        <v>1119</v>
      </c>
      <c r="C224" s="2" t="str">
        <f t="shared" si="3"/>
        <v>Giardia sp.:9040</v>
      </c>
      <c r="D224" t="s">
        <v>567</v>
      </c>
    </row>
    <row r="225" spans="1:4">
      <c r="A225" s="1">
        <v>9843</v>
      </c>
      <c r="B225" s="1" t="s">
        <v>1120</v>
      </c>
      <c r="C225" s="2" t="str">
        <f t="shared" si="3"/>
        <v>Globicatella:9843</v>
      </c>
      <c r="D225" t="s">
        <v>568</v>
      </c>
    </row>
    <row r="226" spans="1:4">
      <c r="A226" s="1">
        <v>9844</v>
      </c>
      <c r="B226" s="1" t="s">
        <v>1121</v>
      </c>
      <c r="C226" s="2" t="str">
        <f t="shared" si="3"/>
        <v>Gordonia:9844</v>
      </c>
      <c r="D226" t="s">
        <v>569</v>
      </c>
    </row>
    <row r="227" spans="1:4">
      <c r="A227" s="1">
        <v>1014</v>
      </c>
      <c r="B227" s="1" t="s">
        <v>1122</v>
      </c>
      <c r="C227" s="2" t="str">
        <f t="shared" si="3"/>
        <v>Gram-negative bacilli:1014</v>
      </c>
      <c r="D227" t="s">
        <v>570</v>
      </c>
    </row>
    <row r="228" spans="1:4">
      <c r="A228" s="1">
        <v>1013</v>
      </c>
      <c r="B228" s="1" t="s">
        <v>1123</v>
      </c>
      <c r="C228" s="2" t="str">
        <f t="shared" si="3"/>
        <v>Gram-negative cocci:1013</v>
      </c>
      <c r="D228" t="s">
        <v>571</v>
      </c>
    </row>
    <row r="229" spans="1:4">
      <c r="A229" s="1">
        <v>1012</v>
      </c>
      <c r="B229" s="1" t="s">
        <v>1124</v>
      </c>
      <c r="C229" s="2" t="str">
        <f t="shared" si="3"/>
        <v>Gram-positive bacilli:1012</v>
      </c>
      <c r="D229" t="s">
        <v>572</v>
      </c>
    </row>
    <row r="230" spans="1:4">
      <c r="A230" s="1">
        <v>1011</v>
      </c>
      <c r="B230" s="1" t="s">
        <v>1125</v>
      </c>
      <c r="C230" s="2" t="str">
        <f t="shared" si="3"/>
        <v>Gram-positive cocci:1011</v>
      </c>
      <c r="D230" t="s">
        <v>573</v>
      </c>
    </row>
    <row r="231" spans="1:4">
      <c r="A231" s="1">
        <v>1117</v>
      </c>
      <c r="B231" s="1" t="s">
        <v>1126</v>
      </c>
      <c r="C231" s="2" t="str">
        <f t="shared" si="3"/>
        <v>Group C β-Streptococcus:1117</v>
      </c>
      <c r="D231" t="s">
        <v>574</v>
      </c>
    </row>
    <row r="232" spans="1:4">
      <c r="A232" s="1">
        <v>1120</v>
      </c>
      <c r="B232" s="1" t="s">
        <v>1127</v>
      </c>
      <c r="C232" s="2" t="str">
        <f t="shared" si="3"/>
        <v>Group F β-Streptococcus:1120</v>
      </c>
      <c r="D232" t="s">
        <v>575</v>
      </c>
    </row>
    <row r="233" spans="1:4">
      <c r="A233" s="1">
        <v>1123</v>
      </c>
      <c r="B233" s="1" t="s">
        <v>1128</v>
      </c>
      <c r="C233" s="2" t="str">
        <f t="shared" si="3"/>
        <v>Group G β-Streptococcus:1123</v>
      </c>
      <c r="D233" t="s">
        <v>576</v>
      </c>
    </row>
    <row r="234" spans="1:4">
      <c r="A234" s="1">
        <v>3244</v>
      </c>
      <c r="B234" s="1" t="s">
        <v>1129</v>
      </c>
      <c r="C234" s="2" t="str">
        <f t="shared" si="3"/>
        <v>Haemophilus aphrophilus:3244</v>
      </c>
      <c r="D234" t="s">
        <v>577</v>
      </c>
    </row>
    <row r="235" spans="1:4">
      <c r="A235" s="1">
        <v>3243</v>
      </c>
      <c r="B235" s="1" t="s">
        <v>1130</v>
      </c>
      <c r="C235" s="2" t="str">
        <f t="shared" si="3"/>
        <v>Haemophilus ducreyi:3243</v>
      </c>
      <c r="D235" t="s">
        <v>578</v>
      </c>
    </row>
    <row r="236" spans="1:4">
      <c r="A236" s="1">
        <v>3242</v>
      </c>
      <c r="B236" s="1" t="s">
        <v>1131</v>
      </c>
      <c r="C236" s="2" t="str">
        <f t="shared" si="3"/>
        <v>Haemophilus haemoglobinophilus:3242</v>
      </c>
      <c r="D236" t="s">
        <v>579</v>
      </c>
    </row>
    <row r="237" spans="1:4">
      <c r="A237" s="1">
        <v>3240</v>
      </c>
      <c r="B237" s="1" t="s">
        <v>1132</v>
      </c>
      <c r="C237" s="2" t="str">
        <f t="shared" si="3"/>
        <v>Haemophilus haemolyticus:3240</v>
      </c>
      <c r="D237" t="s">
        <v>580</v>
      </c>
    </row>
    <row r="238" spans="1:4">
      <c r="A238" s="1">
        <v>3201</v>
      </c>
      <c r="B238" s="1" t="s">
        <v>1133</v>
      </c>
      <c r="C238" s="2" t="str">
        <f t="shared" si="3"/>
        <v>Haemophilus influenzae:3201</v>
      </c>
      <c r="D238" t="s">
        <v>581</v>
      </c>
    </row>
    <row r="239" spans="1:4">
      <c r="A239" s="1">
        <v>3202</v>
      </c>
      <c r="B239" s="1" t="s">
        <v>1134</v>
      </c>
      <c r="C239" s="2" t="str">
        <f t="shared" si="3"/>
        <v>Haemophilus influenzae (beta-lactamase non-producing):3202</v>
      </c>
      <c r="D239" t="s">
        <v>582</v>
      </c>
    </row>
    <row r="240" spans="1:4">
      <c r="A240" s="1">
        <v>3203</v>
      </c>
      <c r="B240" s="1" t="s">
        <v>1135</v>
      </c>
      <c r="C240" s="2" t="str">
        <f t="shared" si="3"/>
        <v>Haemophilus influenzae (beta-lactamase producing):3203</v>
      </c>
      <c r="D240" t="s">
        <v>583</v>
      </c>
    </row>
    <row r="241" spans="1:4">
      <c r="A241" s="1">
        <v>3205</v>
      </c>
      <c r="B241" s="1" t="s">
        <v>1136</v>
      </c>
      <c r="C241" s="2" t="str">
        <f t="shared" si="3"/>
        <v>Haemophilus influenzae biotypeⅠ:3205</v>
      </c>
      <c r="D241" t="s">
        <v>584</v>
      </c>
    </row>
    <row r="242" spans="1:4">
      <c r="A242" s="1">
        <v>3208</v>
      </c>
      <c r="B242" s="1" t="s">
        <v>1137</v>
      </c>
      <c r="C242" s="2" t="str">
        <f t="shared" si="3"/>
        <v>Haemophilus influenzae biotypeⅡ:3208</v>
      </c>
      <c r="D242" t="s">
        <v>585</v>
      </c>
    </row>
    <row r="243" spans="1:4">
      <c r="A243" s="1">
        <v>3211</v>
      </c>
      <c r="B243" s="1" t="s">
        <v>1138</v>
      </c>
      <c r="C243" s="2" t="str">
        <f t="shared" si="3"/>
        <v>Haemophilus influenzae biotypeⅢ:3211</v>
      </c>
      <c r="D243" t="s">
        <v>586</v>
      </c>
    </row>
    <row r="244" spans="1:4">
      <c r="A244" s="1">
        <v>3214</v>
      </c>
      <c r="B244" s="1" t="s">
        <v>1139</v>
      </c>
      <c r="C244" s="2" t="str">
        <f t="shared" si="3"/>
        <v>Haemophilus influenzae biotypeⅣ:3214</v>
      </c>
      <c r="D244" t="s">
        <v>587</v>
      </c>
    </row>
    <row r="245" spans="1:4">
      <c r="A245" s="1">
        <v>3217</v>
      </c>
      <c r="B245" s="1" t="s">
        <v>1140</v>
      </c>
      <c r="C245" s="2" t="str">
        <f t="shared" si="3"/>
        <v>Haemophilus influenzae biotypeⅤ:3217</v>
      </c>
      <c r="D245" t="s">
        <v>588</v>
      </c>
    </row>
    <row r="246" spans="1:4">
      <c r="A246" s="1">
        <v>3220</v>
      </c>
      <c r="B246" s="1" t="s">
        <v>1141</v>
      </c>
      <c r="C246" s="2" t="str">
        <f t="shared" si="3"/>
        <v>Haemophilus influenzae biotypeⅥ‐1:3220</v>
      </c>
      <c r="D246" t="s">
        <v>589</v>
      </c>
    </row>
    <row r="247" spans="1:4">
      <c r="A247" s="1">
        <v>3223</v>
      </c>
      <c r="B247" s="1" t="s">
        <v>1142</v>
      </c>
      <c r="C247" s="2" t="str">
        <f t="shared" si="3"/>
        <v>Haemophilus influenzae biotypeⅥ‐2:3223</v>
      </c>
      <c r="D247" t="s">
        <v>590</v>
      </c>
    </row>
    <row r="248" spans="1:4">
      <c r="A248" s="1">
        <v>3241</v>
      </c>
      <c r="B248" s="1" t="s">
        <v>1143</v>
      </c>
      <c r="C248" s="2" t="str">
        <f t="shared" si="3"/>
        <v>Haemophilus parahaemolyticus:3241</v>
      </c>
      <c r="D248" t="s">
        <v>591</v>
      </c>
    </row>
    <row r="249" spans="1:4">
      <c r="A249" s="1">
        <v>3230</v>
      </c>
      <c r="B249" s="1" t="s">
        <v>1144</v>
      </c>
      <c r="C249" s="2" t="str">
        <f t="shared" si="3"/>
        <v>Haemophilus parainfluenzae:3230</v>
      </c>
      <c r="D249" t="s">
        <v>592</v>
      </c>
    </row>
    <row r="250" spans="1:4">
      <c r="A250" s="1">
        <v>3245</v>
      </c>
      <c r="B250" s="1" t="s">
        <v>1145</v>
      </c>
      <c r="C250" s="2" t="str">
        <f t="shared" si="3"/>
        <v>Haemophilus paraphrophilus:3245</v>
      </c>
      <c r="D250" t="s">
        <v>593</v>
      </c>
    </row>
    <row r="251" spans="1:4">
      <c r="A251" s="1">
        <v>3200</v>
      </c>
      <c r="B251" s="1" t="s">
        <v>1146</v>
      </c>
      <c r="C251" s="2" t="str">
        <f t="shared" si="3"/>
        <v>Haemophilus sp.:3200</v>
      </c>
      <c r="D251" t="s">
        <v>594</v>
      </c>
    </row>
    <row r="252" spans="1:4">
      <c r="A252" s="1">
        <v>2631</v>
      </c>
      <c r="B252" s="1" t="s">
        <v>1147</v>
      </c>
      <c r="C252" s="2" t="str">
        <f t="shared" si="3"/>
        <v>Hafnia alvei:2631</v>
      </c>
      <c r="D252" t="s">
        <v>595</v>
      </c>
    </row>
    <row r="253" spans="1:4">
      <c r="A253" s="1">
        <v>2630</v>
      </c>
      <c r="B253" s="1" t="s">
        <v>1148</v>
      </c>
      <c r="C253" s="2" t="str">
        <f t="shared" si="3"/>
        <v>Hafnia sp.:2630</v>
      </c>
      <c r="D253" t="s">
        <v>596</v>
      </c>
    </row>
    <row r="254" spans="1:4">
      <c r="A254" s="1">
        <v>9846</v>
      </c>
      <c r="B254" s="1" t="s">
        <v>1149</v>
      </c>
      <c r="C254" s="2" t="str">
        <f t="shared" si="3"/>
        <v>Hallella:9846</v>
      </c>
      <c r="D254" t="s">
        <v>597</v>
      </c>
    </row>
    <row r="255" spans="1:4">
      <c r="A255" s="1">
        <v>9847</v>
      </c>
      <c r="B255" s="1" t="s">
        <v>1150</v>
      </c>
      <c r="C255" s="2" t="str">
        <f t="shared" si="3"/>
        <v>Halococcus:9847</v>
      </c>
      <c r="D255" t="s">
        <v>598</v>
      </c>
    </row>
    <row r="256" spans="1:4">
      <c r="A256" s="1">
        <v>3731</v>
      </c>
      <c r="B256" s="1" t="s">
        <v>1151</v>
      </c>
      <c r="C256" s="2" t="str">
        <f t="shared" si="3"/>
        <v>Helicobacter pylori:3731</v>
      </c>
      <c r="D256" t="s">
        <v>599</v>
      </c>
    </row>
    <row r="257" spans="1:4">
      <c r="A257" s="1">
        <v>3730</v>
      </c>
      <c r="B257" s="1" t="s">
        <v>1152</v>
      </c>
      <c r="C257" s="2" t="str">
        <f t="shared" si="3"/>
        <v>Helicobacter sp.:3730</v>
      </c>
      <c r="D257" t="s">
        <v>600</v>
      </c>
    </row>
    <row r="258" spans="1:4">
      <c r="A258" s="1">
        <v>7541</v>
      </c>
      <c r="B258" s="1" t="s">
        <v>1153</v>
      </c>
      <c r="C258" s="2" t="str">
        <f t="shared" si="3"/>
        <v>Histoplasma capsulatum:7541</v>
      </c>
      <c r="D258" t="s">
        <v>601</v>
      </c>
    </row>
    <row r="259" spans="1:4">
      <c r="A259" s="1">
        <v>7540</v>
      </c>
      <c r="B259" s="1" t="s">
        <v>1154</v>
      </c>
      <c r="C259" s="2" t="str">
        <f t="shared" ref="C259:C322" si="4">B259&amp;":"&amp;A259</f>
        <v>Histoplasma sp.:7540</v>
      </c>
      <c r="D259" t="s">
        <v>602</v>
      </c>
    </row>
    <row r="260" spans="1:4">
      <c r="A260" s="1">
        <v>9030</v>
      </c>
      <c r="B260" s="1" t="s">
        <v>1155</v>
      </c>
      <c r="C260" s="2" t="str">
        <f t="shared" si="4"/>
        <v>Isospora sp.:9030</v>
      </c>
      <c r="D260" t="s">
        <v>603</v>
      </c>
    </row>
    <row r="261" spans="1:4">
      <c r="A261" s="1">
        <v>9848</v>
      </c>
      <c r="B261" s="1" t="s">
        <v>1156</v>
      </c>
      <c r="C261" s="2" t="str">
        <f t="shared" si="4"/>
        <v>Janthinobacterium:9848</v>
      </c>
      <c r="D261" t="s">
        <v>604</v>
      </c>
    </row>
    <row r="262" spans="1:4">
      <c r="A262" s="1">
        <v>9849</v>
      </c>
      <c r="B262" s="1" t="s">
        <v>1157</v>
      </c>
      <c r="C262" s="2" t="str">
        <f t="shared" si="4"/>
        <v>Johnsonella:9849</v>
      </c>
      <c r="D262" t="s">
        <v>605</v>
      </c>
    </row>
    <row r="263" spans="1:4">
      <c r="A263" s="1">
        <v>3801</v>
      </c>
      <c r="B263" s="1" t="s">
        <v>1158</v>
      </c>
      <c r="C263" s="2" t="str">
        <f t="shared" si="4"/>
        <v>Kingella kingae:3801</v>
      </c>
      <c r="D263" t="s">
        <v>606</v>
      </c>
    </row>
    <row r="264" spans="1:4">
      <c r="A264" s="1">
        <v>3800</v>
      </c>
      <c r="B264" s="1" t="s">
        <v>1159</v>
      </c>
      <c r="C264" s="2" t="str">
        <f t="shared" si="4"/>
        <v>Kingella sp.:3800</v>
      </c>
      <c r="D264" t="s">
        <v>607</v>
      </c>
    </row>
    <row r="265" spans="1:4">
      <c r="A265" s="1">
        <v>2352</v>
      </c>
      <c r="B265" s="1" t="s">
        <v>1160</v>
      </c>
      <c r="C265" s="2" t="str">
        <f t="shared" si="4"/>
        <v>Klebsiella oxytoca:2352</v>
      </c>
      <c r="D265" t="s">
        <v>608</v>
      </c>
    </row>
    <row r="266" spans="1:4">
      <c r="A266" s="1">
        <v>2353</v>
      </c>
      <c r="B266" s="1" t="s">
        <v>1161</v>
      </c>
      <c r="C266" s="2" t="str">
        <f t="shared" si="4"/>
        <v>Klebsiella pneumoniae subsp. ozaenae:2353</v>
      </c>
      <c r="D266" t="s">
        <v>609</v>
      </c>
    </row>
    <row r="267" spans="1:4">
      <c r="A267" s="1">
        <v>2351</v>
      </c>
      <c r="B267" s="1" t="s">
        <v>1162</v>
      </c>
      <c r="C267" s="2" t="str">
        <f t="shared" si="4"/>
        <v>Klebsiella pneumoniae subsp. pneumoniae:2351</v>
      </c>
      <c r="D267" t="s">
        <v>610</v>
      </c>
    </row>
    <row r="268" spans="1:4">
      <c r="A268" s="1">
        <v>2354</v>
      </c>
      <c r="B268" s="1" t="s">
        <v>1163</v>
      </c>
      <c r="C268" s="2" t="str">
        <f t="shared" si="4"/>
        <v>Klebsiella pneumoniae subsp. rhinoscleromatis:2354</v>
      </c>
      <c r="D268" t="s">
        <v>611</v>
      </c>
    </row>
    <row r="269" spans="1:4">
      <c r="A269" s="1">
        <v>2350</v>
      </c>
      <c r="B269" s="1" t="s">
        <v>1164</v>
      </c>
      <c r="C269" s="2" t="str">
        <f t="shared" si="4"/>
        <v>Klebsiella sp.:2350</v>
      </c>
      <c r="D269" t="s">
        <v>612</v>
      </c>
    </row>
    <row r="270" spans="1:4">
      <c r="A270" s="1">
        <v>2651</v>
      </c>
      <c r="B270" s="1" t="s">
        <v>1165</v>
      </c>
      <c r="C270" s="2" t="str">
        <f t="shared" si="4"/>
        <v>Kluyvera ascorbata:2651</v>
      </c>
      <c r="D270" t="s">
        <v>613</v>
      </c>
    </row>
    <row r="271" spans="1:4">
      <c r="A271" s="1">
        <v>2650</v>
      </c>
      <c r="B271" s="1" t="s">
        <v>1166</v>
      </c>
      <c r="C271" s="2" t="str">
        <f t="shared" si="4"/>
        <v>Kluyvera sp.:2650</v>
      </c>
      <c r="D271" t="s">
        <v>614</v>
      </c>
    </row>
    <row r="272" spans="1:4">
      <c r="A272" s="1">
        <v>9850</v>
      </c>
      <c r="B272" s="1" t="s">
        <v>1167</v>
      </c>
      <c r="C272" s="2" t="str">
        <f t="shared" si="4"/>
        <v>Kocuria:9850</v>
      </c>
      <c r="D272" t="s">
        <v>615</v>
      </c>
    </row>
    <row r="273" spans="1:4">
      <c r="A273" s="1">
        <v>9851</v>
      </c>
      <c r="B273" s="1" t="s">
        <v>1168</v>
      </c>
      <c r="C273" s="2" t="str">
        <f t="shared" si="4"/>
        <v>Kurthia:9851</v>
      </c>
      <c r="D273" t="s">
        <v>616</v>
      </c>
    </row>
    <row r="274" spans="1:4">
      <c r="A274" s="1">
        <v>9852</v>
      </c>
      <c r="B274" s="1" t="s">
        <v>1169</v>
      </c>
      <c r="C274" s="2" t="str">
        <f t="shared" si="4"/>
        <v>Kytococcus:9852</v>
      </c>
      <c r="D274" t="s">
        <v>617</v>
      </c>
    </row>
    <row r="275" spans="1:4">
      <c r="A275" s="1">
        <v>5900</v>
      </c>
      <c r="B275" s="1" t="s">
        <v>1170</v>
      </c>
      <c r="C275" s="2" t="str">
        <f t="shared" si="4"/>
        <v>Lactobacillus sp.:5900</v>
      </c>
      <c r="D275" t="s">
        <v>618</v>
      </c>
    </row>
    <row r="276" spans="1:4">
      <c r="A276" s="1">
        <v>1501</v>
      </c>
      <c r="B276" s="1" t="s">
        <v>1171</v>
      </c>
      <c r="C276" s="2" t="str">
        <f t="shared" si="4"/>
        <v>Lactococcus lactis subsp. lactis:1501</v>
      </c>
      <c r="D276" t="s">
        <v>619</v>
      </c>
    </row>
    <row r="277" spans="1:4">
      <c r="A277" s="1">
        <v>1500</v>
      </c>
      <c r="B277" s="1" t="s">
        <v>1172</v>
      </c>
      <c r="C277" s="2" t="str">
        <f t="shared" si="4"/>
        <v>Lactococcus sp.:1500</v>
      </c>
      <c r="D277" t="s">
        <v>620</v>
      </c>
    </row>
    <row r="278" spans="1:4">
      <c r="A278" s="1">
        <v>9853</v>
      </c>
      <c r="B278" s="1" t="s">
        <v>1173</v>
      </c>
      <c r="C278" s="2" t="str">
        <f t="shared" si="4"/>
        <v>Lautropia:9853</v>
      </c>
      <c r="D278" t="s">
        <v>621</v>
      </c>
    </row>
    <row r="279" spans="1:4">
      <c r="A279" s="1">
        <v>9854</v>
      </c>
      <c r="B279" s="1" t="s">
        <v>1174</v>
      </c>
      <c r="C279" s="2" t="str">
        <f t="shared" si="4"/>
        <v>Lawsonia:9854</v>
      </c>
      <c r="D279" t="s">
        <v>622</v>
      </c>
    </row>
    <row r="280" spans="1:4">
      <c r="A280" s="1">
        <v>2661</v>
      </c>
      <c r="B280" s="1" t="s">
        <v>1175</v>
      </c>
      <c r="C280" s="2" t="str">
        <f t="shared" si="4"/>
        <v>Leclercia adecarboxylata:2661</v>
      </c>
      <c r="D280" t="s">
        <v>623</v>
      </c>
    </row>
    <row r="281" spans="1:4">
      <c r="A281" s="1">
        <v>2660</v>
      </c>
      <c r="B281" s="1" t="s">
        <v>1176</v>
      </c>
      <c r="C281" s="2" t="str">
        <f t="shared" si="4"/>
        <v>Leclercia sp.:2660</v>
      </c>
      <c r="D281" t="s">
        <v>624</v>
      </c>
    </row>
    <row r="282" spans="1:4">
      <c r="A282" s="1">
        <v>3301</v>
      </c>
      <c r="B282" s="1" t="s">
        <v>1177</v>
      </c>
      <c r="C282" s="2" t="str">
        <f t="shared" si="4"/>
        <v>Legionella pneumophila subsp. pneumophila:3301</v>
      </c>
      <c r="D282" t="s">
        <v>625</v>
      </c>
    </row>
    <row r="283" spans="1:4">
      <c r="A283" s="1">
        <v>3300</v>
      </c>
      <c r="B283" s="1" t="s">
        <v>1178</v>
      </c>
      <c r="C283" s="2" t="str">
        <f t="shared" si="4"/>
        <v>Legionella sp.:3300</v>
      </c>
      <c r="D283" t="s">
        <v>626</v>
      </c>
    </row>
    <row r="284" spans="1:4">
      <c r="A284" s="1">
        <v>9855</v>
      </c>
      <c r="B284" s="1" t="s">
        <v>1179</v>
      </c>
      <c r="C284" s="2" t="str">
        <f t="shared" si="4"/>
        <v>Leminorella:9855</v>
      </c>
      <c r="D284" t="s">
        <v>627</v>
      </c>
    </row>
    <row r="285" spans="1:4">
      <c r="A285" s="1">
        <v>8401</v>
      </c>
      <c r="B285" s="1" t="s">
        <v>1180</v>
      </c>
      <c r="C285" s="2" t="str">
        <f t="shared" si="4"/>
        <v>Leptospira interrogans:8401</v>
      </c>
      <c r="D285" t="s">
        <v>628</v>
      </c>
    </row>
    <row r="286" spans="1:4">
      <c r="A286" s="1">
        <v>8400</v>
      </c>
      <c r="B286" s="1" t="s">
        <v>1181</v>
      </c>
      <c r="C286" s="2" t="str">
        <f t="shared" si="4"/>
        <v>Leptospira sp.:8400</v>
      </c>
      <c r="D286" t="s">
        <v>629</v>
      </c>
    </row>
    <row r="287" spans="1:4">
      <c r="A287" s="1">
        <v>8402</v>
      </c>
      <c r="B287" s="1" t="s">
        <v>1182</v>
      </c>
      <c r="C287" s="2" t="str">
        <f t="shared" si="4"/>
        <v>Leptotrichia buccalis:8402</v>
      </c>
      <c r="D287" t="s">
        <v>630</v>
      </c>
    </row>
    <row r="288" spans="1:4">
      <c r="A288" s="1">
        <v>9857</v>
      </c>
      <c r="B288" s="1" t="s">
        <v>1183</v>
      </c>
      <c r="C288" s="2" t="str">
        <f t="shared" si="4"/>
        <v>Leuconostoc:9857</v>
      </c>
      <c r="D288" t="s">
        <v>631</v>
      </c>
    </row>
    <row r="289" spans="1:4">
      <c r="A289" s="1">
        <v>6051</v>
      </c>
      <c r="B289" s="1" t="s">
        <v>1184</v>
      </c>
      <c r="C289" s="2" t="str">
        <f t="shared" si="4"/>
        <v>Listeria monocytogenes:6051</v>
      </c>
      <c r="D289" t="s">
        <v>632</v>
      </c>
    </row>
    <row r="290" spans="1:4">
      <c r="A290" s="1">
        <v>6050</v>
      </c>
      <c r="B290" s="1" t="s">
        <v>1185</v>
      </c>
      <c r="C290" s="2" t="str">
        <f t="shared" si="4"/>
        <v>Listeria sp.:6050</v>
      </c>
      <c r="D290" t="s">
        <v>633</v>
      </c>
    </row>
    <row r="291" spans="1:4">
      <c r="A291" s="1">
        <v>9858</v>
      </c>
      <c r="B291" s="1" t="s">
        <v>1186</v>
      </c>
      <c r="C291" s="2" t="str">
        <f t="shared" si="4"/>
        <v>Listonella:9858</v>
      </c>
      <c r="D291" t="s">
        <v>634</v>
      </c>
    </row>
    <row r="292" spans="1:4">
      <c r="A292" s="1">
        <v>7151</v>
      </c>
      <c r="B292" s="1" t="s">
        <v>1187</v>
      </c>
      <c r="C292" s="2" t="str">
        <f t="shared" si="4"/>
        <v>Malassezia furfur:7151</v>
      </c>
      <c r="D292" t="s">
        <v>635</v>
      </c>
    </row>
    <row r="293" spans="1:4">
      <c r="A293" s="1">
        <v>7150</v>
      </c>
      <c r="B293" s="1" t="s">
        <v>1188</v>
      </c>
      <c r="C293" s="2" t="str">
        <f t="shared" si="4"/>
        <v>Malassezia sp.:7150</v>
      </c>
      <c r="D293" t="s">
        <v>636</v>
      </c>
    </row>
    <row r="294" spans="1:4">
      <c r="A294" s="1">
        <v>9859</v>
      </c>
      <c r="B294" s="1" t="s">
        <v>1189</v>
      </c>
      <c r="C294" s="2" t="str">
        <f t="shared" si="4"/>
        <v>Methylobacterium:9859</v>
      </c>
      <c r="D294" t="s">
        <v>637</v>
      </c>
    </row>
    <row r="295" spans="1:4">
      <c r="A295" s="1">
        <v>1400</v>
      </c>
      <c r="B295" s="1" t="s">
        <v>1190</v>
      </c>
      <c r="C295" s="2" t="str">
        <f t="shared" si="4"/>
        <v>Micrococcus sp.:1400</v>
      </c>
      <c r="D295" t="s">
        <v>638</v>
      </c>
    </row>
    <row r="296" spans="1:4">
      <c r="A296" s="1">
        <v>5006</v>
      </c>
      <c r="B296" s="1" t="s">
        <v>1191</v>
      </c>
      <c r="C296" s="2" t="str">
        <f t="shared" si="4"/>
        <v>Micromonas micros:5006</v>
      </c>
      <c r="D296" t="s">
        <v>639</v>
      </c>
    </row>
    <row r="297" spans="1:4">
      <c r="A297" s="1">
        <v>7331</v>
      </c>
      <c r="B297" s="1" t="s">
        <v>1192</v>
      </c>
      <c r="C297" s="2" t="str">
        <f t="shared" si="4"/>
        <v>Microsporum canis:7331</v>
      </c>
      <c r="D297" t="s">
        <v>640</v>
      </c>
    </row>
    <row r="298" spans="1:4">
      <c r="A298" s="1">
        <v>7332</v>
      </c>
      <c r="B298" s="1" t="s">
        <v>1193</v>
      </c>
      <c r="C298" s="2" t="str">
        <f t="shared" si="4"/>
        <v>Microsporum gypseum:7332</v>
      </c>
      <c r="D298" t="s">
        <v>641</v>
      </c>
    </row>
    <row r="299" spans="1:4">
      <c r="A299" s="1">
        <v>7330</v>
      </c>
      <c r="B299" s="1" t="s">
        <v>1194</v>
      </c>
      <c r="C299" s="2" t="str">
        <f t="shared" si="4"/>
        <v>Microsporum sp.:7330</v>
      </c>
      <c r="D299" t="s">
        <v>642</v>
      </c>
    </row>
    <row r="300" spans="1:4">
      <c r="A300" s="1">
        <v>9860</v>
      </c>
      <c r="B300" s="1" t="s">
        <v>1195</v>
      </c>
      <c r="C300" s="2" t="str">
        <f t="shared" si="4"/>
        <v>Mitsuokella:9860</v>
      </c>
      <c r="D300" t="s">
        <v>643</v>
      </c>
    </row>
    <row r="301" spans="1:4">
      <c r="A301" s="1">
        <v>5400</v>
      </c>
      <c r="B301" s="1" t="s">
        <v>1196</v>
      </c>
      <c r="C301" s="2" t="str">
        <f t="shared" si="4"/>
        <v>Mobiluncus sp.:5400</v>
      </c>
      <c r="D301" t="s">
        <v>644</v>
      </c>
    </row>
    <row r="302" spans="1:4">
      <c r="A302" s="1">
        <v>9861</v>
      </c>
      <c r="B302" s="1" t="s">
        <v>1197</v>
      </c>
      <c r="C302" s="2" t="str">
        <f t="shared" si="4"/>
        <v>Moellerella:9861</v>
      </c>
      <c r="D302" t="s">
        <v>645</v>
      </c>
    </row>
    <row r="303" spans="1:4">
      <c r="A303" s="1">
        <v>1851</v>
      </c>
      <c r="B303" s="1" t="s">
        <v>1198</v>
      </c>
      <c r="C303" s="2" t="str">
        <f t="shared" si="4"/>
        <v>Moraxella (Branhamella) catarrhalis:1851</v>
      </c>
      <c r="D303" t="s">
        <v>646</v>
      </c>
    </row>
    <row r="304" spans="1:4">
      <c r="A304" s="1">
        <v>1850</v>
      </c>
      <c r="B304" s="1" t="s">
        <v>1199</v>
      </c>
      <c r="C304" s="2" t="str">
        <f t="shared" si="4"/>
        <v>Moraxella (Branhamella) sp.:1850</v>
      </c>
      <c r="D304" t="s">
        <v>647</v>
      </c>
    </row>
    <row r="305" spans="1:4">
      <c r="A305" s="1">
        <v>4503</v>
      </c>
      <c r="B305" s="1" t="s">
        <v>1200</v>
      </c>
      <c r="C305" s="2" t="str">
        <f t="shared" si="4"/>
        <v>Moraxella bovis:4503</v>
      </c>
      <c r="D305" t="s">
        <v>648</v>
      </c>
    </row>
    <row r="306" spans="1:4">
      <c r="A306" s="1">
        <v>4501</v>
      </c>
      <c r="B306" s="1" t="s">
        <v>1201</v>
      </c>
      <c r="C306" s="2" t="str">
        <f t="shared" si="4"/>
        <v>Moraxella lacunata:4501</v>
      </c>
      <c r="D306" t="s">
        <v>649</v>
      </c>
    </row>
    <row r="307" spans="1:4">
      <c r="A307" s="1">
        <v>4502</v>
      </c>
      <c r="B307" s="1" t="s">
        <v>1202</v>
      </c>
      <c r="C307" s="2" t="str">
        <f t="shared" si="4"/>
        <v>Moraxella osloensis:4502</v>
      </c>
      <c r="D307" t="s">
        <v>650</v>
      </c>
    </row>
    <row r="308" spans="1:4">
      <c r="A308" s="1">
        <v>4500</v>
      </c>
      <c r="B308" s="1" t="s">
        <v>1203</v>
      </c>
      <c r="C308" s="2" t="str">
        <f t="shared" si="4"/>
        <v>Moraxella sp.:4500</v>
      </c>
      <c r="D308" t="s">
        <v>651</v>
      </c>
    </row>
    <row r="309" spans="1:4">
      <c r="A309" s="1">
        <v>2251</v>
      </c>
      <c r="B309" s="1" t="s">
        <v>1204</v>
      </c>
      <c r="C309" s="2" t="str">
        <f t="shared" si="4"/>
        <v>Morganella morganii subsp. morganii:2251</v>
      </c>
      <c r="D309" t="s">
        <v>652</v>
      </c>
    </row>
    <row r="310" spans="1:4">
      <c r="A310" s="1">
        <v>2250</v>
      </c>
      <c r="B310" s="1" t="s">
        <v>1205</v>
      </c>
      <c r="C310" s="2" t="str">
        <f t="shared" si="4"/>
        <v>Morganella sp.:2250</v>
      </c>
      <c r="D310" t="s">
        <v>653</v>
      </c>
    </row>
    <row r="311" spans="1:4">
      <c r="A311" s="1">
        <v>7501</v>
      </c>
      <c r="B311" s="1" t="s">
        <v>1206</v>
      </c>
      <c r="C311" s="2" t="str">
        <f t="shared" si="4"/>
        <v>Mucor circinelloides:7501</v>
      </c>
      <c r="D311" t="s">
        <v>654</v>
      </c>
    </row>
    <row r="312" spans="1:4">
      <c r="A312" s="1">
        <v>7500</v>
      </c>
      <c r="B312" s="1" t="s">
        <v>1207</v>
      </c>
      <c r="C312" s="2" t="str">
        <f t="shared" si="4"/>
        <v>Mucor sp.:7500</v>
      </c>
      <c r="D312" t="s">
        <v>655</v>
      </c>
    </row>
    <row r="313" spans="1:4">
      <c r="A313" s="1">
        <v>6512</v>
      </c>
      <c r="B313" s="1" t="s">
        <v>1208</v>
      </c>
      <c r="C313" s="2" t="str">
        <f t="shared" si="4"/>
        <v>Mycobacterium abscessus:6512</v>
      </c>
      <c r="D313" t="s">
        <v>656</v>
      </c>
    </row>
    <row r="314" spans="1:4">
      <c r="A314" s="1">
        <v>6505</v>
      </c>
      <c r="B314" s="1" t="s">
        <v>1209</v>
      </c>
      <c r="C314" s="2" t="str">
        <f t="shared" si="4"/>
        <v>Mycobacterium avium complex:6505</v>
      </c>
      <c r="D314" t="s">
        <v>657</v>
      </c>
    </row>
    <row r="315" spans="1:4">
      <c r="A315" s="1">
        <v>6503</v>
      </c>
      <c r="B315" s="1" t="s">
        <v>1210</v>
      </c>
      <c r="C315" s="2" t="str">
        <f t="shared" si="4"/>
        <v>Mycobacterium avium subsp. avium:6503</v>
      </c>
      <c r="D315" t="s">
        <v>658</v>
      </c>
    </row>
    <row r="316" spans="1:4">
      <c r="A316" s="1">
        <v>6511</v>
      </c>
      <c r="B316" s="1" t="s">
        <v>1211</v>
      </c>
      <c r="C316" s="2" t="str">
        <f t="shared" si="4"/>
        <v>Mycobacterium chelonae subsp. chelonae:6511</v>
      </c>
      <c r="D316" t="s">
        <v>659</v>
      </c>
    </row>
    <row r="317" spans="1:4">
      <c r="A317" s="1">
        <v>6510</v>
      </c>
      <c r="B317" s="1" t="s">
        <v>1212</v>
      </c>
      <c r="C317" s="2" t="str">
        <f t="shared" si="4"/>
        <v>Mycobacterium fortuitum subsp. fortuitum:6510</v>
      </c>
      <c r="D317" t="s">
        <v>660</v>
      </c>
    </row>
    <row r="318" spans="1:4">
      <c r="A318" s="1">
        <v>6509</v>
      </c>
      <c r="B318" s="1" t="s">
        <v>1213</v>
      </c>
      <c r="C318" s="2" t="str">
        <f t="shared" si="4"/>
        <v>Mycobacterium gordonae:6509</v>
      </c>
      <c r="D318" t="s">
        <v>661</v>
      </c>
    </row>
    <row r="319" spans="1:4">
      <c r="A319" s="1">
        <v>6504</v>
      </c>
      <c r="B319" s="1" t="s">
        <v>1214</v>
      </c>
      <c r="C319" s="2" t="str">
        <f t="shared" si="4"/>
        <v>Mycobacterium intracellulare:6504</v>
      </c>
      <c r="D319" t="s">
        <v>662</v>
      </c>
    </row>
    <row r="320" spans="1:4">
      <c r="A320" s="1">
        <v>6506</v>
      </c>
      <c r="B320" s="1" t="s">
        <v>1215</v>
      </c>
      <c r="C320" s="2" t="str">
        <f t="shared" si="4"/>
        <v>Mycobacterium kansasii:6506</v>
      </c>
      <c r="D320" t="s">
        <v>663</v>
      </c>
    </row>
    <row r="321" spans="1:4">
      <c r="A321" s="1">
        <v>6507</v>
      </c>
      <c r="B321" s="1" t="s">
        <v>1216</v>
      </c>
      <c r="C321" s="2" t="str">
        <f t="shared" si="4"/>
        <v>Mycobacterium marinum:6507</v>
      </c>
      <c r="D321" t="s">
        <v>664</v>
      </c>
    </row>
    <row r="322" spans="1:4">
      <c r="A322" s="1">
        <v>6508</v>
      </c>
      <c r="B322" s="1" t="s">
        <v>1217</v>
      </c>
      <c r="C322" s="2" t="str">
        <f t="shared" si="4"/>
        <v>Mycobacterium scrofulaceum:6508</v>
      </c>
      <c r="D322" t="s">
        <v>665</v>
      </c>
    </row>
    <row r="323" spans="1:4">
      <c r="A323" s="1">
        <v>6500</v>
      </c>
      <c r="B323" s="1" t="s">
        <v>1218</v>
      </c>
      <c r="C323" s="2" t="str">
        <f t="shared" ref="C323:C386" si="5">B323&amp;":"&amp;A323</f>
        <v>Mycobacterium sp.:6500</v>
      </c>
      <c r="D323" t="s">
        <v>666</v>
      </c>
    </row>
    <row r="324" spans="1:4">
      <c r="A324" s="1">
        <v>6501</v>
      </c>
      <c r="B324" s="1" t="s">
        <v>1219</v>
      </c>
      <c r="C324" s="2" t="str">
        <f t="shared" si="5"/>
        <v>Mycobacterium tuberculosis:6501</v>
      </c>
      <c r="D324" t="s">
        <v>667</v>
      </c>
    </row>
    <row r="325" spans="1:4">
      <c r="A325" s="1">
        <v>6502</v>
      </c>
      <c r="B325" s="1" t="s">
        <v>1220</v>
      </c>
      <c r="C325" s="2" t="str">
        <f t="shared" si="5"/>
        <v>Mycobacterium tuberculosis complex:6502</v>
      </c>
      <c r="D325" t="s">
        <v>668</v>
      </c>
    </row>
    <row r="326" spans="1:4">
      <c r="A326" s="1">
        <v>8001</v>
      </c>
      <c r="B326" s="1" t="s">
        <v>1221</v>
      </c>
      <c r="C326" s="2" t="str">
        <f t="shared" si="5"/>
        <v>Mycoplasma pneumoniae:8001</v>
      </c>
      <c r="D326" t="s">
        <v>669</v>
      </c>
    </row>
    <row r="327" spans="1:4">
      <c r="A327" s="1">
        <v>8000</v>
      </c>
      <c r="B327" s="1" t="s">
        <v>1222</v>
      </c>
      <c r="C327" s="2" t="str">
        <f t="shared" si="5"/>
        <v>Mycoplasma sp.:8000</v>
      </c>
      <c r="D327" t="s">
        <v>670</v>
      </c>
    </row>
    <row r="328" spans="1:4">
      <c r="A328" s="1">
        <v>4201</v>
      </c>
      <c r="B328" s="1" t="s">
        <v>1223</v>
      </c>
      <c r="C328" s="2" t="str">
        <f t="shared" si="5"/>
        <v>Myroides odoratus:4201</v>
      </c>
      <c r="D328" t="s">
        <v>671</v>
      </c>
    </row>
    <row r="329" spans="1:4">
      <c r="A329" s="1">
        <v>4210</v>
      </c>
      <c r="B329" s="1" t="s">
        <v>1224</v>
      </c>
      <c r="C329" s="2" t="str">
        <f t="shared" si="5"/>
        <v>Myroides sp.:4210</v>
      </c>
      <c r="D329" t="s">
        <v>672</v>
      </c>
    </row>
    <row r="330" spans="1:4">
      <c r="A330" s="1">
        <v>1801</v>
      </c>
      <c r="B330" s="1" t="s">
        <v>1225</v>
      </c>
      <c r="C330" s="2" t="str">
        <f t="shared" si="5"/>
        <v>Neisseria gonorrhoeae:1801</v>
      </c>
      <c r="D330" t="s">
        <v>673</v>
      </c>
    </row>
    <row r="331" spans="1:4">
      <c r="A331" s="1">
        <v>1802</v>
      </c>
      <c r="B331" s="1" t="s">
        <v>1226</v>
      </c>
      <c r="C331" s="2" t="str">
        <f t="shared" si="5"/>
        <v>Neisseria gonorrhoeae(beta-lactamase non-producing):1802</v>
      </c>
      <c r="D331" t="s">
        <v>674</v>
      </c>
    </row>
    <row r="332" spans="1:4">
      <c r="A332" s="1">
        <v>1803</v>
      </c>
      <c r="B332" s="1" t="s">
        <v>1227</v>
      </c>
      <c r="C332" s="2" t="str">
        <f t="shared" si="5"/>
        <v>Neisseria gonorrhoeae(beta-lactamase producing):1803</v>
      </c>
      <c r="D332" t="s">
        <v>675</v>
      </c>
    </row>
    <row r="333" spans="1:4">
      <c r="A333" s="1">
        <v>1805</v>
      </c>
      <c r="B333" s="1" t="s">
        <v>1228</v>
      </c>
      <c r="C333" s="2" t="str">
        <f t="shared" si="5"/>
        <v>Neisseria meningitidis:1805</v>
      </c>
      <c r="D333" t="s">
        <v>676</v>
      </c>
    </row>
    <row r="334" spans="1:4">
      <c r="A334" s="1">
        <v>1800</v>
      </c>
      <c r="B334" s="1" t="s">
        <v>1229</v>
      </c>
      <c r="C334" s="2" t="str">
        <f t="shared" si="5"/>
        <v>Neisseria sp.:1800</v>
      </c>
      <c r="D334" t="s">
        <v>677</v>
      </c>
    </row>
    <row r="335" spans="1:4">
      <c r="A335" s="1">
        <v>9862</v>
      </c>
      <c r="B335" s="1" t="s">
        <v>1230</v>
      </c>
      <c r="C335" s="2" t="str">
        <f t="shared" si="5"/>
        <v>Nesterenkonia:9862</v>
      </c>
      <c r="D335" t="s">
        <v>678</v>
      </c>
    </row>
    <row r="336" spans="1:4">
      <c r="A336" s="1">
        <v>6201</v>
      </c>
      <c r="B336" s="1" t="s">
        <v>1231</v>
      </c>
      <c r="C336" s="2" t="str">
        <f t="shared" si="5"/>
        <v>Nocardia asteroides:6201</v>
      </c>
      <c r="D336" t="s">
        <v>679</v>
      </c>
    </row>
    <row r="337" spans="1:4">
      <c r="A337" s="1">
        <v>6203</v>
      </c>
      <c r="B337" s="1" t="s">
        <v>1232</v>
      </c>
      <c r="C337" s="2" t="str">
        <f t="shared" si="5"/>
        <v>Nocardia brasiliensis:6203</v>
      </c>
      <c r="D337" t="s">
        <v>680</v>
      </c>
    </row>
    <row r="338" spans="1:4">
      <c r="A338" s="1">
        <v>6200</v>
      </c>
      <c r="B338" s="1" t="s">
        <v>1233</v>
      </c>
      <c r="C338" s="2" t="str">
        <f t="shared" si="5"/>
        <v>Nocardia sp.:6200</v>
      </c>
      <c r="D338" t="s">
        <v>681</v>
      </c>
    </row>
    <row r="339" spans="1:4">
      <c r="A339" s="1">
        <v>9863</v>
      </c>
      <c r="B339" s="1" t="s">
        <v>1234</v>
      </c>
      <c r="C339" s="2" t="str">
        <f t="shared" si="5"/>
        <v>Nocardiopsis:9863</v>
      </c>
      <c r="D339" t="s">
        <v>682</v>
      </c>
    </row>
    <row r="340" spans="1:4">
      <c r="A340" s="1">
        <v>9864</v>
      </c>
      <c r="B340" s="1" t="s">
        <v>1235</v>
      </c>
      <c r="C340" s="2" t="str">
        <f t="shared" si="5"/>
        <v>Obesumbacterium:9864</v>
      </c>
      <c r="D340" t="s">
        <v>683</v>
      </c>
    </row>
    <row r="341" spans="1:4">
      <c r="A341" s="1">
        <v>9865</v>
      </c>
      <c r="B341" s="1" t="s">
        <v>1236</v>
      </c>
      <c r="C341" s="2" t="str">
        <f t="shared" si="5"/>
        <v>Ochrobactrum:9865</v>
      </c>
      <c r="D341" t="s">
        <v>684</v>
      </c>
    </row>
    <row r="342" spans="1:4">
      <c r="A342" s="1">
        <v>9866</v>
      </c>
      <c r="B342" s="1" t="s">
        <v>1237</v>
      </c>
      <c r="C342" s="2" t="str">
        <f t="shared" si="5"/>
        <v>Oenococcus:9866</v>
      </c>
      <c r="D342" t="s">
        <v>685</v>
      </c>
    </row>
    <row r="343" spans="1:4">
      <c r="A343" s="1">
        <v>9867</v>
      </c>
      <c r="B343" s="1" t="s">
        <v>1238</v>
      </c>
      <c r="C343" s="2" t="str">
        <f t="shared" si="5"/>
        <v>Oerskovia:9867</v>
      </c>
      <c r="D343" t="s">
        <v>686</v>
      </c>
    </row>
    <row r="344" spans="1:4">
      <c r="A344" s="1">
        <v>9868</v>
      </c>
      <c r="B344" s="1" t="s">
        <v>1239</v>
      </c>
      <c r="C344" s="2" t="str">
        <f t="shared" si="5"/>
        <v>Oligella:9868</v>
      </c>
      <c r="D344" t="s">
        <v>687</v>
      </c>
    </row>
    <row r="345" spans="1:4">
      <c r="A345" s="1">
        <v>9869</v>
      </c>
      <c r="B345" s="1" t="s">
        <v>1240</v>
      </c>
      <c r="C345" s="2" t="str">
        <f t="shared" si="5"/>
        <v>Orientia:9869</v>
      </c>
      <c r="D345" t="s">
        <v>688</v>
      </c>
    </row>
    <row r="346" spans="1:4">
      <c r="A346" s="1">
        <v>9998</v>
      </c>
      <c r="B346" s="1" t="s">
        <v>1241</v>
      </c>
      <c r="C346" s="2" t="str">
        <f t="shared" si="5"/>
        <v>Other species (includes non-identifiable):9998</v>
      </c>
      <c r="D346" t="s">
        <v>689</v>
      </c>
    </row>
    <row r="347" spans="1:4">
      <c r="A347" s="1">
        <v>9870</v>
      </c>
      <c r="B347" s="1" t="s">
        <v>1242</v>
      </c>
      <c r="C347" s="2" t="str">
        <f t="shared" si="5"/>
        <v>Paenibacillus:9870</v>
      </c>
      <c r="D347" t="s">
        <v>690</v>
      </c>
    </row>
    <row r="348" spans="1:4">
      <c r="A348" s="1">
        <v>2171</v>
      </c>
      <c r="B348" s="1" t="s">
        <v>1243</v>
      </c>
      <c r="C348" s="2" t="str">
        <f t="shared" si="5"/>
        <v>Pantoea agglomerans:2171</v>
      </c>
      <c r="D348" t="s">
        <v>691</v>
      </c>
    </row>
    <row r="349" spans="1:4">
      <c r="A349" s="1">
        <v>2170</v>
      </c>
      <c r="B349" s="1" t="s">
        <v>1244</v>
      </c>
      <c r="C349" s="2" t="str">
        <f t="shared" si="5"/>
        <v>Pantoea sp.:2170</v>
      </c>
      <c r="D349" t="s">
        <v>692</v>
      </c>
    </row>
    <row r="350" spans="1:4">
      <c r="A350" s="1">
        <v>7561</v>
      </c>
      <c r="B350" s="1" t="s">
        <v>1245</v>
      </c>
      <c r="C350" s="2" t="str">
        <f t="shared" si="5"/>
        <v>Paracoccidioides brasiliensis:7561</v>
      </c>
      <c r="D350" t="s">
        <v>693</v>
      </c>
    </row>
    <row r="351" spans="1:4">
      <c r="A351" s="1">
        <v>7560</v>
      </c>
      <c r="B351" s="1" t="s">
        <v>1246</v>
      </c>
      <c r="C351" s="2" t="str">
        <f t="shared" si="5"/>
        <v>Paracoccidioides sp.:7560</v>
      </c>
      <c r="D351" t="s">
        <v>694</v>
      </c>
    </row>
    <row r="352" spans="1:4">
      <c r="A352" s="1">
        <v>5036</v>
      </c>
      <c r="B352" s="1" t="s">
        <v>1247</v>
      </c>
      <c r="C352" s="2" t="str">
        <f t="shared" si="5"/>
        <v>Parvimonas sp.:5036</v>
      </c>
      <c r="D352" t="s">
        <v>695</v>
      </c>
    </row>
    <row r="353" spans="1:4">
      <c r="A353" s="1">
        <v>3101</v>
      </c>
      <c r="B353" s="1" t="s">
        <v>1248</v>
      </c>
      <c r="C353" s="2" t="str">
        <f t="shared" si="5"/>
        <v>Pasteurella multocida subsp. multocida:3101</v>
      </c>
      <c r="D353" t="s">
        <v>696</v>
      </c>
    </row>
    <row r="354" spans="1:4">
      <c r="A354" s="1">
        <v>3100</v>
      </c>
      <c r="B354" s="1" t="s">
        <v>1249</v>
      </c>
      <c r="C354" s="2" t="str">
        <f t="shared" si="5"/>
        <v>Pasteurella sp.:3100</v>
      </c>
      <c r="D354" t="s">
        <v>697</v>
      </c>
    </row>
    <row r="355" spans="1:4">
      <c r="A355" s="1">
        <v>9871</v>
      </c>
      <c r="B355" s="1" t="s">
        <v>1250</v>
      </c>
      <c r="C355" s="2" t="str">
        <f t="shared" si="5"/>
        <v>Pediococcus:9871</v>
      </c>
      <c r="D355" t="s">
        <v>698</v>
      </c>
    </row>
    <row r="356" spans="1:4">
      <c r="A356" s="1">
        <v>7311</v>
      </c>
      <c r="B356" s="1" t="s">
        <v>1251</v>
      </c>
      <c r="C356" s="2" t="str">
        <f t="shared" si="5"/>
        <v>Penicillium marneffei:7311</v>
      </c>
      <c r="D356" t="s">
        <v>699</v>
      </c>
    </row>
    <row r="357" spans="1:4">
      <c r="A357" s="1">
        <v>7310</v>
      </c>
      <c r="B357" s="1" t="s">
        <v>1252</v>
      </c>
      <c r="C357" s="2" t="str">
        <f t="shared" si="5"/>
        <v>Penicillium sp.:7310</v>
      </c>
      <c r="D357" t="s">
        <v>700</v>
      </c>
    </row>
    <row r="358" spans="1:4">
      <c r="A358" s="1">
        <v>5021</v>
      </c>
      <c r="B358" s="1" t="s">
        <v>1253</v>
      </c>
      <c r="C358" s="2" t="str">
        <f t="shared" si="5"/>
        <v>Peptococcus niger:5021</v>
      </c>
      <c r="D358" t="s">
        <v>701</v>
      </c>
    </row>
    <row r="359" spans="1:4">
      <c r="A359" s="1">
        <v>5020</v>
      </c>
      <c r="B359" s="1" t="s">
        <v>1254</v>
      </c>
      <c r="C359" s="2" t="str">
        <f t="shared" si="5"/>
        <v>Peptococcus sp.:5020</v>
      </c>
      <c r="D359" t="s">
        <v>702</v>
      </c>
    </row>
    <row r="360" spans="1:4">
      <c r="A360" s="1">
        <v>5003</v>
      </c>
      <c r="B360" s="1" t="s">
        <v>1255</v>
      </c>
      <c r="C360" s="2" t="str">
        <f t="shared" si="5"/>
        <v>Peptoniphilus asaccharolyticus:5003</v>
      </c>
      <c r="D360" t="s">
        <v>703</v>
      </c>
    </row>
    <row r="361" spans="1:4">
      <c r="A361" s="1">
        <v>5039</v>
      </c>
      <c r="B361" s="1" t="s">
        <v>1256</v>
      </c>
      <c r="C361" s="2" t="str">
        <f t="shared" si="5"/>
        <v>Peptoniphilus sp.:5039</v>
      </c>
      <c r="D361" t="s">
        <v>704</v>
      </c>
    </row>
    <row r="362" spans="1:4">
      <c r="A362" s="1">
        <v>5004</v>
      </c>
      <c r="B362" s="1" t="s">
        <v>1257</v>
      </c>
      <c r="C362" s="2" t="str">
        <f t="shared" si="5"/>
        <v>Peptostreptococcus anaerobius:5004</v>
      </c>
      <c r="D362" t="s">
        <v>705</v>
      </c>
    </row>
    <row r="363" spans="1:4">
      <c r="A363" s="1">
        <v>5000</v>
      </c>
      <c r="B363" s="1" t="s">
        <v>1258</v>
      </c>
      <c r="C363" s="2" t="str">
        <f t="shared" si="5"/>
        <v>Peptostreptococcus sp.:5000</v>
      </c>
      <c r="D363" t="s">
        <v>706</v>
      </c>
    </row>
    <row r="364" spans="1:4">
      <c r="A364" s="1">
        <v>9872</v>
      </c>
      <c r="B364" s="1" t="s">
        <v>1259</v>
      </c>
      <c r="C364" s="2" t="str">
        <f t="shared" si="5"/>
        <v>Photobacterium:9872</v>
      </c>
      <c r="D364" t="s">
        <v>707</v>
      </c>
    </row>
    <row r="365" spans="1:4">
      <c r="A365" s="1">
        <v>9873</v>
      </c>
      <c r="B365" s="1" t="s">
        <v>1260</v>
      </c>
      <c r="C365" s="2" t="str">
        <f t="shared" si="5"/>
        <v>Photorhabdus:9873</v>
      </c>
      <c r="D365" t="s">
        <v>708</v>
      </c>
    </row>
    <row r="366" spans="1:4">
      <c r="A366" s="1">
        <v>3151</v>
      </c>
      <c r="B366" s="1" t="s">
        <v>1261</v>
      </c>
      <c r="C366" s="2" t="str">
        <f t="shared" si="5"/>
        <v>Plesiomonas shigelloides:3151</v>
      </c>
      <c r="D366" t="s">
        <v>709</v>
      </c>
    </row>
    <row r="367" spans="1:4">
      <c r="A367" s="1">
        <v>3150</v>
      </c>
      <c r="B367" s="1" t="s">
        <v>1262</v>
      </c>
      <c r="C367" s="2" t="str">
        <f t="shared" si="5"/>
        <v>Plesiomonas sp.:3150</v>
      </c>
      <c r="D367" t="s">
        <v>710</v>
      </c>
    </row>
    <row r="368" spans="1:4">
      <c r="A368" s="1">
        <v>7901</v>
      </c>
      <c r="B368" s="1" t="s">
        <v>1263</v>
      </c>
      <c r="C368" s="2" t="str">
        <f t="shared" si="5"/>
        <v>Pneumocystis carinii:7901</v>
      </c>
      <c r="D368" t="s">
        <v>711</v>
      </c>
    </row>
    <row r="369" spans="1:4">
      <c r="A369" s="1">
        <v>7902</v>
      </c>
      <c r="B369" s="1" t="s">
        <v>1264</v>
      </c>
      <c r="C369" s="2" t="str">
        <f t="shared" si="5"/>
        <v>Pneumocystis jirovecii:7902</v>
      </c>
      <c r="D369" t="s">
        <v>712</v>
      </c>
    </row>
    <row r="370" spans="1:4">
      <c r="A370" s="1">
        <v>7900</v>
      </c>
      <c r="B370" s="1" t="s">
        <v>1265</v>
      </c>
      <c r="C370" s="2" t="str">
        <f t="shared" si="5"/>
        <v>Pneumocystis sp.:7900</v>
      </c>
      <c r="D370" t="s">
        <v>713</v>
      </c>
    </row>
    <row r="371" spans="1:4">
      <c r="A371" s="1">
        <v>5601</v>
      </c>
      <c r="B371" s="1" t="s">
        <v>1266</v>
      </c>
      <c r="C371" s="2" t="str">
        <f t="shared" si="5"/>
        <v>Porphyromonas asaccharolytica:5601</v>
      </c>
      <c r="D371" t="s">
        <v>714</v>
      </c>
    </row>
    <row r="372" spans="1:4">
      <c r="A372" s="1">
        <v>5602</v>
      </c>
      <c r="B372" s="1" t="s">
        <v>1267</v>
      </c>
      <c r="C372" s="2" t="str">
        <f t="shared" si="5"/>
        <v>Porphyromonas gingivalis:5602</v>
      </c>
      <c r="D372" t="s">
        <v>715</v>
      </c>
    </row>
    <row r="373" spans="1:4">
      <c r="A373" s="1">
        <v>5600</v>
      </c>
      <c r="B373" s="1" t="s">
        <v>1268</v>
      </c>
      <c r="C373" s="2" t="str">
        <f t="shared" si="5"/>
        <v>Porphyromonas sp.:5600</v>
      </c>
      <c r="D373" t="s">
        <v>716</v>
      </c>
    </row>
    <row r="374" spans="1:4">
      <c r="A374" s="1">
        <v>9874</v>
      </c>
      <c r="B374" s="1" t="s">
        <v>1269</v>
      </c>
      <c r="C374" s="2" t="str">
        <f t="shared" si="5"/>
        <v>Pragia:9874</v>
      </c>
      <c r="D374" t="s">
        <v>717</v>
      </c>
    </row>
    <row r="375" spans="1:4">
      <c r="A375" s="1">
        <v>5554</v>
      </c>
      <c r="B375" s="1" t="s">
        <v>1270</v>
      </c>
      <c r="C375" s="2" t="str">
        <f t="shared" si="5"/>
        <v>Prevotella bivia:5554</v>
      </c>
      <c r="D375" t="s">
        <v>718</v>
      </c>
    </row>
    <row r="376" spans="1:4">
      <c r="A376" s="1">
        <v>5555</v>
      </c>
      <c r="B376" s="1" t="s">
        <v>1271</v>
      </c>
      <c r="C376" s="2" t="str">
        <f t="shared" si="5"/>
        <v>Prevotella buccae:5555</v>
      </c>
      <c r="D376" t="s">
        <v>719</v>
      </c>
    </row>
    <row r="377" spans="1:4">
      <c r="A377" s="1">
        <v>5559</v>
      </c>
      <c r="B377" s="1" t="s">
        <v>1272</v>
      </c>
      <c r="C377" s="2" t="str">
        <f t="shared" si="5"/>
        <v>Prevotella corporis:5559</v>
      </c>
      <c r="D377" t="s">
        <v>720</v>
      </c>
    </row>
    <row r="378" spans="1:4">
      <c r="A378" s="1">
        <v>5556</v>
      </c>
      <c r="B378" s="1" t="s">
        <v>1273</v>
      </c>
      <c r="C378" s="2" t="str">
        <f t="shared" si="5"/>
        <v>Prevotella denticola:5556</v>
      </c>
      <c r="D378" t="s">
        <v>721</v>
      </c>
    </row>
    <row r="379" spans="1:4">
      <c r="A379" s="1">
        <v>5558</v>
      </c>
      <c r="B379" s="1" t="s">
        <v>1274</v>
      </c>
      <c r="C379" s="2" t="str">
        <f t="shared" si="5"/>
        <v>Prevotella intermedia:5558</v>
      </c>
      <c r="D379" t="s">
        <v>722</v>
      </c>
    </row>
    <row r="380" spans="1:4">
      <c r="A380" s="1">
        <v>5557</v>
      </c>
      <c r="B380" s="1" t="s">
        <v>1275</v>
      </c>
      <c r="C380" s="2" t="str">
        <f t="shared" si="5"/>
        <v>Prevotella loescheii:5557</v>
      </c>
      <c r="D380" t="s">
        <v>723</v>
      </c>
    </row>
    <row r="381" spans="1:4">
      <c r="A381" s="1">
        <v>5551</v>
      </c>
      <c r="B381" s="1" t="s">
        <v>1276</v>
      </c>
      <c r="C381" s="2" t="str">
        <f t="shared" si="5"/>
        <v>Prevotella melaninogenica:5551</v>
      </c>
      <c r="D381" t="s">
        <v>724</v>
      </c>
    </row>
    <row r="382" spans="1:4">
      <c r="A382" s="1">
        <v>5552</v>
      </c>
      <c r="B382" s="1" t="s">
        <v>1277</v>
      </c>
      <c r="C382" s="2" t="str">
        <f t="shared" si="5"/>
        <v>Prevotella oralis:5552</v>
      </c>
      <c r="D382" t="s">
        <v>725</v>
      </c>
    </row>
    <row r="383" spans="1:4">
      <c r="A383" s="1">
        <v>5553</v>
      </c>
      <c r="B383" s="1" t="s">
        <v>1278</v>
      </c>
      <c r="C383" s="2" t="str">
        <f t="shared" si="5"/>
        <v>Prevotella ruminicola subsp. ruminicola:5553</v>
      </c>
      <c r="D383" t="s">
        <v>726</v>
      </c>
    </row>
    <row r="384" spans="1:4">
      <c r="A384" s="1">
        <v>5550</v>
      </c>
      <c r="B384" s="1" t="s">
        <v>1279</v>
      </c>
      <c r="C384" s="2" t="str">
        <f t="shared" si="5"/>
        <v>Prevotella sp.:5550</v>
      </c>
      <c r="D384" t="s">
        <v>727</v>
      </c>
    </row>
    <row r="385" spans="1:4">
      <c r="A385" s="1">
        <v>5151</v>
      </c>
      <c r="B385" s="1" t="s">
        <v>1280</v>
      </c>
      <c r="C385" s="2" t="str">
        <f t="shared" si="5"/>
        <v>Propionibacterium acnes:5151</v>
      </c>
      <c r="D385" t="s">
        <v>728</v>
      </c>
    </row>
    <row r="386" spans="1:4">
      <c r="A386" s="1">
        <v>5150</v>
      </c>
      <c r="B386" s="1" t="s">
        <v>1281</v>
      </c>
      <c r="C386" s="2" t="str">
        <f t="shared" si="5"/>
        <v>Propionibacterium sp.:5150</v>
      </c>
      <c r="D386" t="s">
        <v>729</v>
      </c>
    </row>
    <row r="387" spans="1:4">
      <c r="A387" s="1">
        <v>9875</v>
      </c>
      <c r="B387" s="1" t="s">
        <v>1282</v>
      </c>
      <c r="C387" s="2" t="str">
        <f t="shared" ref="C387:C450" si="6">B387&amp;":"&amp;A387</f>
        <v>Propioniferax:9875</v>
      </c>
      <c r="D387" t="s">
        <v>730</v>
      </c>
    </row>
    <row r="388" spans="1:4">
      <c r="A388" s="1">
        <v>2201</v>
      </c>
      <c r="B388" s="1" t="s">
        <v>1283</v>
      </c>
      <c r="C388" s="2" t="str">
        <f t="shared" si="6"/>
        <v>Proteus mirabilis:2201</v>
      </c>
      <c r="D388" t="s">
        <v>731</v>
      </c>
    </row>
    <row r="389" spans="1:4">
      <c r="A389" s="1">
        <v>2203</v>
      </c>
      <c r="B389" s="1" t="s">
        <v>1284</v>
      </c>
      <c r="C389" s="2" t="str">
        <f t="shared" si="6"/>
        <v>Proteus penneri:2203</v>
      </c>
      <c r="D389" t="s">
        <v>732</v>
      </c>
    </row>
    <row r="390" spans="1:4">
      <c r="A390" s="1">
        <v>2200</v>
      </c>
      <c r="B390" s="1" t="s">
        <v>1285</v>
      </c>
      <c r="C390" s="2" t="str">
        <f t="shared" si="6"/>
        <v>Proteus sp.:2200</v>
      </c>
      <c r="D390" t="s">
        <v>733</v>
      </c>
    </row>
    <row r="391" spans="1:4">
      <c r="A391" s="1">
        <v>2202</v>
      </c>
      <c r="B391" s="1" t="s">
        <v>1286</v>
      </c>
      <c r="C391" s="2" t="str">
        <f t="shared" si="6"/>
        <v>Proteus vulgaris:2202</v>
      </c>
      <c r="D391" t="s">
        <v>734</v>
      </c>
    </row>
    <row r="392" spans="1:4">
      <c r="A392" s="1">
        <v>2304</v>
      </c>
      <c r="B392" s="1" t="s">
        <v>1287</v>
      </c>
      <c r="C392" s="2" t="str">
        <f t="shared" si="6"/>
        <v>Providencia alcalifaciens:2304</v>
      </c>
      <c r="D392" t="s">
        <v>735</v>
      </c>
    </row>
    <row r="393" spans="1:4">
      <c r="A393" s="1">
        <v>2301</v>
      </c>
      <c r="B393" s="1" t="s">
        <v>1288</v>
      </c>
      <c r="C393" s="2" t="str">
        <f t="shared" si="6"/>
        <v>Providencia rettgeri:2301</v>
      </c>
      <c r="D393" t="s">
        <v>736</v>
      </c>
    </row>
    <row r="394" spans="1:4">
      <c r="A394" s="1">
        <v>2300</v>
      </c>
      <c r="B394" s="1" t="s">
        <v>1289</v>
      </c>
      <c r="C394" s="2" t="str">
        <f t="shared" si="6"/>
        <v>Providencia sp.:2300</v>
      </c>
      <c r="D394" t="s">
        <v>737</v>
      </c>
    </row>
    <row r="395" spans="1:4">
      <c r="A395" s="1">
        <v>2305</v>
      </c>
      <c r="B395" s="1" t="s">
        <v>1290</v>
      </c>
      <c r="C395" s="2" t="str">
        <f t="shared" si="6"/>
        <v>Providencia stuartii:2305</v>
      </c>
      <c r="D395" t="s">
        <v>738</v>
      </c>
    </row>
    <row r="396" spans="1:4">
      <c r="A396" s="1">
        <v>4001</v>
      </c>
      <c r="B396" s="1" t="s">
        <v>1291</v>
      </c>
      <c r="C396" s="2" t="str">
        <f t="shared" si="6"/>
        <v>Pseudomonas aeruginosa:4001</v>
      </c>
      <c r="D396" t="s">
        <v>739</v>
      </c>
    </row>
    <row r="397" spans="1:4">
      <c r="A397" s="1">
        <v>4012</v>
      </c>
      <c r="B397" s="1" t="s">
        <v>1292</v>
      </c>
      <c r="C397" s="2" t="str">
        <f t="shared" si="6"/>
        <v>Pseudomonas fluorescens:4012</v>
      </c>
      <c r="D397" t="s">
        <v>740</v>
      </c>
    </row>
    <row r="398" spans="1:4">
      <c r="A398" s="1">
        <v>4011</v>
      </c>
      <c r="B398" s="1" t="s">
        <v>1293</v>
      </c>
      <c r="C398" s="2" t="str">
        <f t="shared" si="6"/>
        <v>Pseudomonas putida:4011</v>
      </c>
      <c r="D398" t="s">
        <v>741</v>
      </c>
    </row>
    <row r="399" spans="1:4">
      <c r="A399" s="1">
        <v>4000</v>
      </c>
      <c r="B399" s="1" t="s">
        <v>1294</v>
      </c>
      <c r="C399" s="2" t="str">
        <f t="shared" si="6"/>
        <v>Pseudomonas sp.:4000</v>
      </c>
      <c r="D399" t="s">
        <v>742</v>
      </c>
    </row>
    <row r="400" spans="1:4">
      <c r="A400" s="1">
        <v>9876</v>
      </c>
      <c r="B400" s="1" t="s">
        <v>1295</v>
      </c>
      <c r="C400" s="2" t="str">
        <f t="shared" si="6"/>
        <v>Psychrobacter:9876</v>
      </c>
      <c r="D400" t="s">
        <v>743</v>
      </c>
    </row>
    <row r="401" spans="1:4">
      <c r="A401" s="1">
        <v>2691</v>
      </c>
      <c r="B401" s="1" t="s">
        <v>1296</v>
      </c>
      <c r="C401" s="2" t="str">
        <f t="shared" si="6"/>
        <v>Rahnella aquatilis:2691</v>
      </c>
      <c r="D401" t="s">
        <v>744</v>
      </c>
    </row>
    <row r="402" spans="1:4">
      <c r="A402" s="1">
        <v>2690</v>
      </c>
      <c r="B402" s="1" t="s">
        <v>1297</v>
      </c>
      <c r="C402" s="2" t="str">
        <f t="shared" si="6"/>
        <v>Rahnella sp.:2690</v>
      </c>
      <c r="D402" t="s">
        <v>745</v>
      </c>
    </row>
    <row r="403" spans="1:4">
      <c r="A403" s="1">
        <v>4003</v>
      </c>
      <c r="B403" s="1" t="s">
        <v>1298</v>
      </c>
      <c r="C403" s="2" t="str">
        <f t="shared" si="6"/>
        <v>Ralstonia pickettii:4003</v>
      </c>
      <c r="D403" t="s">
        <v>746</v>
      </c>
    </row>
    <row r="404" spans="1:4">
      <c r="A404" s="1">
        <v>4451</v>
      </c>
      <c r="B404" s="1" t="s">
        <v>1299</v>
      </c>
      <c r="C404" s="2" t="str">
        <f t="shared" si="6"/>
        <v>Rhizobium radiobacter:4451</v>
      </c>
      <c r="D404" t="s">
        <v>747</v>
      </c>
    </row>
    <row r="405" spans="1:4">
      <c r="A405" s="1">
        <v>4450</v>
      </c>
      <c r="B405" s="1" t="s">
        <v>1300</v>
      </c>
      <c r="C405" s="2" t="str">
        <f t="shared" si="6"/>
        <v>Rhizobium sp.:4450</v>
      </c>
      <c r="D405" t="s">
        <v>748</v>
      </c>
    </row>
    <row r="406" spans="1:4">
      <c r="A406" s="1">
        <v>7511</v>
      </c>
      <c r="B406" s="1" t="s">
        <v>1301</v>
      </c>
      <c r="C406" s="2" t="str">
        <f t="shared" si="6"/>
        <v>Rhizomucor pusillus:7511</v>
      </c>
      <c r="D406" t="s">
        <v>749</v>
      </c>
    </row>
    <row r="407" spans="1:4">
      <c r="A407" s="1">
        <v>7510</v>
      </c>
      <c r="B407" s="1" t="s">
        <v>1302</v>
      </c>
      <c r="C407" s="2" t="str">
        <f t="shared" si="6"/>
        <v>Rhizomucor sp.:7510</v>
      </c>
      <c r="D407" t="s">
        <v>750</v>
      </c>
    </row>
    <row r="408" spans="1:4">
      <c r="A408" s="1">
        <v>7521</v>
      </c>
      <c r="B408" s="1" t="s">
        <v>1303</v>
      </c>
      <c r="C408" s="2" t="str">
        <f t="shared" si="6"/>
        <v>Rhizopus oryzae:7521</v>
      </c>
      <c r="D408" t="s">
        <v>751</v>
      </c>
    </row>
    <row r="409" spans="1:4">
      <c r="A409" s="1">
        <v>7520</v>
      </c>
      <c r="B409" s="1" t="s">
        <v>1304</v>
      </c>
      <c r="C409" s="2" t="str">
        <f t="shared" si="6"/>
        <v>Rhizopus sp.:7520</v>
      </c>
      <c r="D409" t="s">
        <v>752</v>
      </c>
    </row>
    <row r="410" spans="1:4">
      <c r="A410" s="1">
        <v>9877</v>
      </c>
      <c r="B410" s="1" t="s">
        <v>1305</v>
      </c>
      <c r="C410" s="2" t="str">
        <f t="shared" si="6"/>
        <v>Rhodococcus:9877</v>
      </c>
      <c r="D410" t="s">
        <v>753</v>
      </c>
    </row>
    <row r="411" spans="1:4">
      <c r="A411" s="1">
        <v>7131</v>
      </c>
      <c r="B411" s="1" t="s">
        <v>1306</v>
      </c>
      <c r="C411" s="2" t="str">
        <f t="shared" si="6"/>
        <v>Rhodotorula rubra:7131</v>
      </c>
      <c r="D411" t="s">
        <v>754</v>
      </c>
    </row>
    <row r="412" spans="1:4">
      <c r="A412" s="1">
        <v>7130</v>
      </c>
      <c r="B412" s="1" t="s">
        <v>1307</v>
      </c>
      <c r="C412" s="2" t="str">
        <f t="shared" si="6"/>
        <v>Rhodotorula sp.:7130</v>
      </c>
      <c r="D412" t="s">
        <v>755</v>
      </c>
    </row>
    <row r="413" spans="1:4">
      <c r="A413" s="1">
        <v>8600</v>
      </c>
      <c r="B413" s="1" t="s">
        <v>1308</v>
      </c>
      <c r="C413" s="2" t="str">
        <f t="shared" si="6"/>
        <v>Rickettsia sp.:8600</v>
      </c>
      <c r="D413" t="s">
        <v>756</v>
      </c>
    </row>
    <row r="414" spans="1:4">
      <c r="A414" s="1">
        <v>9878</v>
      </c>
      <c r="B414" s="1" t="s">
        <v>1309</v>
      </c>
      <c r="C414" s="2" t="str">
        <f t="shared" si="6"/>
        <v>Riemerella:9878</v>
      </c>
      <c r="D414" t="s">
        <v>757</v>
      </c>
    </row>
    <row r="415" spans="1:4">
      <c r="A415" s="1">
        <v>9879</v>
      </c>
      <c r="B415" s="1" t="s">
        <v>1310</v>
      </c>
      <c r="C415" s="2" t="str">
        <f t="shared" si="6"/>
        <v>Rikenella:9879</v>
      </c>
      <c r="D415" t="s">
        <v>758</v>
      </c>
    </row>
    <row r="416" spans="1:4">
      <c r="A416" s="1">
        <v>9880</v>
      </c>
      <c r="B416" s="1" t="s">
        <v>1311</v>
      </c>
      <c r="C416" s="2" t="str">
        <f t="shared" si="6"/>
        <v>Rothia:9880</v>
      </c>
      <c r="D416" t="s">
        <v>759</v>
      </c>
    </row>
    <row r="417" spans="1:4">
      <c r="A417" s="1">
        <v>5005</v>
      </c>
      <c r="B417" s="1" t="s">
        <v>1312</v>
      </c>
      <c r="C417" s="2" t="str">
        <f t="shared" si="6"/>
        <v>Ruminococcus productus:5005</v>
      </c>
      <c r="D417" t="s">
        <v>760</v>
      </c>
    </row>
    <row r="418" spans="1:4">
      <c r="A418" s="1">
        <v>5042</v>
      </c>
      <c r="B418" s="1" t="s">
        <v>1313</v>
      </c>
      <c r="C418" s="2" t="str">
        <f t="shared" si="6"/>
        <v>Ruminococcus sp.:5042</v>
      </c>
      <c r="D418" t="s">
        <v>761</v>
      </c>
    </row>
    <row r="419" spans="1:4">
      <c r="A419" s="1">
        <v>7141</v>
      </c>
      <c r="B419" s="1" t="s">
        <v>1314</v>
      </c>
      <c r="C419" s="2" t="str">
        <f t="shared" si="6"/>
        <v>Saccharomyces cerevisiae:7141</v>
      </c>
      <c r="D419" t="s">
        <v>762</v>
      </c>
    </row>
    <row r="420" spans="1:4">
      <c r="A420" s="1">
        <v>7140</v>
      </c>
      <c r="B420" s="1" t="s">
        <v>1315</v>
      </c>
      <c r="C420" s="2" t="str">
        <f t="shared" si="6"/>
        <v>Saccharomyces sp.:7140</v>
      </c>
      <c r="D420" t="s">
        <v>763</v>
      </c>
    </row>
    <row r="421" spans="1:4">
      <c r="A421" s="1">
        <v>2455</v>
      </c>
      <c r="B421" s="1" t="s">
        <v>1316</v>
      </c>
      <c r="C421" s="2" t="str">
        <f t="shared" si="6"/>
        <v>Salmonella Enteritidis:2455</v>
      </c>
      <c r="D421" t="s">
        <v>765</v>
      </c>
    </row>
    <row r="422" spans="1:4">
      <c r="A422" s="1">
        <v>2452</v>
      </c>
      <c r="B422" s="1" t="s">
        <v>1317</v>
      </c>
      <c r="C422" s="2" t="str">
        <f t="shared" si="6"/>
        <v>Salmonella Paratyphi A:2452</v>
      </c>
      <c r="D422" t="s">
        <v>766</v>
      </c>
    </row>
    <row r="423" spans="1:4">
      <c r="A423" s="1">
        <v>2451</v>
      </c>
      <c r="B423" s="1" t="s">
        <v>1318</v>
      </c>
      <c r="C423" s="2" t="str">
        <f t="shared" si="6"/>
        <v>Salmonella Typhi:2451</v>
      </c>
      <c r="D423" t="s">
        <v>769</v>
      </c>
    </row>
    <row r="424" spans="1:4">
      <c r="A424" s="1">
        <v>2456</v>
      </c>
      <c r="B424" s="1" t="s">
        <v>1319</v>
      </c>
      <c r="C424" s="2" t="str">
        <f t="shared" si="6"/>
        <v>Salmonella Typhimurium:2456</v>
      </c>
      <c r="D424" t="s">
        <v>770</v>
      </c>
    </row>
    <row r="425" spans="1:4">
      <c r="A425" s="1">
        <v>2454</v>
      </c>
      <c r="B425" s="1" t="s">
        <v>1320</v>
      </c>
      <c r="C425" s="2" t="str">
        <f t="shared" si="6"/>
        <v>Salmonella arizonae:2454</v>
      </c>
      <c r="D425" t="s">
        <v>764</v>
      </c>
    </row>
    <row r="426" spans="1:4">
      <c r="A426" s="1">
        <v>2450</v>
      </c>
      <c r="B426" s="1" t="s">
        <v>1321</v>
      </c>
      <c r="C426" s="2" t="str">
        <f t="shared" si="6"/>
        <v>Salmonella sp.:2450</v>
      </c>
      <c r="D426" t="s">
        <v>767</v>
      </c>
    </row>
    <row r="427" spans="1:4">
      <c r="A427" s="1">
        <v>2453</v>
      </c>
      <c r="B427" s="1" t="s">
        <v>1322</v>
      </c>
      <c r="C427" s="2" t="str">
        <f t="shared" si="6"/>
        <v>Salmonella sp. (other than S. Typhi, S. Paratyphi A):2453</v>
      </c>
      <c r="D427" t="s">
        <v>768</v>
      </c>
    </row>
    <row r="428" spans="1:4">
      <c r="A428" s="1">
        <v>9882</v>
      </c>
      <c r="B428" s="1" t="s">
        <v>1323</v>
      </c>
      <c r="C428" s="2" t="str">
        <f t="shared" si="6"/>
        <v>Sanguibacter:9882</v>
      </c>
      <c r="D428" t="s">
        <v>771</v>
      </c>
    </row>
    <row r="429" spans="1:4">
      <c r="A429" s="1">
        <v>9883</v>
      </c>
      <c r="B429" s="1" t="s">
        <v>1324</v>
      </c>
      <c r="C429" s="2" t="str">
        <f t="shared" si="6"/>
        <v>Sebaldella:9883</v>
      </c>
      <c r="D429" t="s">
        <v>772</v>
      </c>
    </row>
    <row r="430" spans="1:4">
      <c r="A430" s="1">
        <v>9884</v>
      </c>
      <c r="B430" s="1" t="s">
        <v>1325</v>
      </c>
      <c r="C430" s="2" t="str">
        <f t="shared" si="6"/>
        <v>Selenomonas:9884</v>
      </c>
      <c r="D430" t="s">
        <v>773</v>
      </c>
    </row>
    <row r="431" spans="1:4">
      <c r="A431" s="1">
        <v>9885</v>
      </c>
      <c r="B431" s="1" t="s">
        <v>1326</v>
      </c>
      <c r="C431" s="2" t="str">
        <f t="shared" si="6"/>
        <v>Serpulina:9885</v>
      </c>
      <c r="D431" t="s">
        <v>774</v>
      </c>
    </row>
    <row r="432" spans="1:4">
      <c r="A432" s="1">
        <v>2102</v>
      </c>
      <c r="B432" s="1" t="s">
        <v>1327</v>
      </c>
      <c r="C432" s="2" t="str">
        <f t="shared" si="6"/>
        <v>Serratia liquefaciens:2102</v>
      </c>
      <c r="D432" t="s">
        <v>775</v>
      </c>
    </row>
    <row r="433" spans="1:4">
      <c r="A433" s="1">
        <v>2101</v>
      </c>
      <c r="B433" s="1" t="s">
        <v>1328</v>
      </c>
      <c r="C433" s="2" t="str">
        <f t="shared" si="6"/>
        <v>Serratia marcescens subsp. marcescens:2101</v>
      </c>
      <c r="D433" t="s">
        <v>776</v>
      </c>
    </row>
    <row r="434" spans="1:4">
      <c r="A434" s="1">
        <v>2105</v>
      </c>
      <c r="B434" s="1" t="s">
        <v>1329</v>
      </c>
      <c r="C434" s="2" t="str">
        <f t="shared" si="6"/>
        <v>Serratia odorifera:2105</v>
      </c>
      <c r="D434" t="s">
        <v>777</v>
      </c>
    </row>
    <row r="435" spans="1:4">
      <c r="A435" s="1">
        <v>2103</v>
      </c>
      <c r="B435" s="1" t="s">
        <v>1330</v>
      </c>
      <c r="C435" s="2" t="str">
        <f t="shared" si="6"/>
        <v>Serratia plymuthica:2103</v>
      </c>
      <c r="D435" t="s">
        <v>778</v>
      </c>
    </row>
    <row r="436" spans="1:4">
      <c r="A436" s="1">
        <v>2104</v>
      </c>
      <c r="B436" s="1" t="s">
        <v>1331</v>
      </c>
      <c r="C436" s="2" t="str">
        <f t="shared" si="6"/>
        <v>Serratia rubidaea:2104</v>
      </c>
      <c r="D436" t="s">
        <v>779</v>
      </c>
    </row>
    <row r="437" spans="1:4">
      <c r="A437" s="1">
        <v>2100</v>
      </c>
      <c r="B437" s="1" t="s">
        <v>1332</v>
      </c>
      <c r="C437" s="2" t="str">
        <f t="shared" si="6"/>
        <v>Serratia sp.:2100</v>
      </c>
      <c r="D437" t="s">
        <v>780</v>
      </c>
    </row>
    <row r="438" spans="1:4">
      <c r="A438" s="1">
        <v>4351</v>
      </c>
      <c r="B438" s="1" t="s">
        <v>1333</v>
      </c>
      <c r="C438" s="2" t="str">
        <f t="shared" si="6"/>
        <v>Shewanella putrefaciens:4351</v>
      </c>
      <c r="D438" t="s">
        <v>781</v>
      </c>
    </row>
    <row r="439" spans="1:4">
      <c r="A439" s="1">
        <v>4350</v>
      </c>
      <c r="B439" s="1" t="s">
        <v>1334</v>
      </c>
      <c r="C439" s="2" t="str">
        <f t="shared" si="6"/>
        <v>Shewanella sp.:4350</v>
      </c>
      <c r="D439" t="s">
        <v>782</v>
      </c>
    </row>
    <row r="440" spans="1:4">
      <c r="A440" s="1">
        <v>2504</v>
      </c>
      <c r="B440" s="1" t="s">
        <v>1335</v>
      </c>
      <c r="C440" s="2" t="str">
        <f t="shared" si="6"/>
        <v>Shigella boydii:2504</v>
      </c>
      <c r="D440" t="s">
        <v>783</v>
      </c>
    </row>
    <row r="441" spans="1:4">
      <c r="A441" s="1">
        <v>2503</v>
      </c>
      <c r="B441" s="1" t="s">
        <v>1336</v>
      </c>
      <c r="C441" s="2" t="str">
        <f t="shared" si="6"/>
        <v>Shigella dysenteriae:2503</v>
      </c>
      <c r="D441" t="s">
        <v>784</v>
      </c>
    </row>
    <row r="442" spans="1:4">
      <c r="A442" s="1">
        <v>2501</v>
      </c>
      <c r="B442" s="1" t="s">
        <v>1337</v>
      </c>
      <c r="C442" s="2" t="str">
        <f t="shared" si="6"/>
        <v>Shigella flexneri:2501</v>
      </c>
      <c r="D442" t="s">
        <v>785</v>
      </c>
    </row>
    <row r="443" spans="1:4">
      <c r="A443" s="1">
        <v>2502</v>
      </c>
      <c r="B443" s="1" t="s">
        <v>1338</v>
      </c>
      <c r="C443" s="2" t="str">
        <f t="shared" si="6"/>
        <v>Shigella sonnei:2502</v>
      </c>
      <c r="D443" t="s">
        <v>786</v>
      </c>
    </row>
    <row r="444" spans="1:4">
      <c r="A444" s="1">
        <v>2500</v>
      </c>
      <c r="B444" s="1" t="s">
        <v>1339</v>
      </c>
      <c r="C444" s="2" t="str">
        <f t="shared" si="6"/>
        <v>Shigella sp.:2500</v>
      </c>
      <c r="D444" t="s">
        <v>787</v>
      </c>
    </row>
    <row r="445" spans="1:4">
      <c r="A445" s="1">
        <v>4301</v>
      </c>
      <c r="B445" s="1" t="s">
        <v>1340</v>
      </c>
      <c r="C445" s="2" t="str">
        <f t="shared" si="6"/>
        <v>Sphingobacterium multivorum:4301</v>
      </c>
      <c r="D445" t="s">
        <v>788</v>
      </c>
    </row>
    <row r="446" spans="1:4">
      <c r="A446" s="1">
        <v>4300</v>
      </c>
      <c r="B446" s="1" t="s">
        <v>1341</v>
      </c>
      <c r="C446" s="2" t="str">
        <f t="shared" si="6"/>
        <v>Sphingobacterium sp.:4300</v>
      </c>
      <c r="D446" t="s">
        <v>789</v>
      </c>
    </row>
    <row r="447" spans="1:4">
      <c r="A447" s="1">
        <v>4302</v>
      </c>
      <c r="B447" s="1" t="s">
        <v>1342</v>
      </c>
      <c r="C447" s="2" t="str">
        <f t="shared" si="6"/>
        <v>Sphingobacterium spiritivorum:4302</v>
      </c>
      <c r="D447" t="s">
        <v>790</v>
      </c>
    </row>
    <row r="448" spans="1:4">
      <c r="A448" s="1">
        <v>9886</v>
      </c>
      <c r="B448" s="1" t="s">
        <v>1343</v>
      </c>
      <c r="C448" s="2" t="str">
        <f t="shared" si="6"/>
        <v>Sphingomonas:9886</v>
      </c>
      <c r="D448" t="s">
        <v>791</v>
      </c>
    </row>
    <row r="449" spans="1:4">
      <c r="A449" s="1">
        <v>9887</v>
      </c>
      <c r="B449" s="1" t="s">
        <v>1344</v>
      </c>
      <c r="C449" s="2" t="str">
        <f t="shared" si="6"/>
        <v>Spiroplasma:9887</v>
      </c>
      <c r="D449" t="s">
        <v>792</v>
      </c>
    </row>
    <row r="450" spans="1:4">
      <c r="A450" s="1">
        <v>7411</v>
      </c>
      <c r="B450" s="1" t="s">
        <v>1345</v>
      </c>
      <c r="C450" s="2" t="str">
        <f t="shared" si="6"/>
        <v>Sporothrix schenckii:7411</v>
      </c>
      <c r="D450" t="s">
        <v>793</v>
      </c>
    </row>
    <row r="451" spans="1:4">
      <c r="A451" s="1">
        <v>7410</v>
      </c>
      <c r="B451" s="1" t="s">
        <v>1346</v>
      </c>
      <c r="C451" s="2" t="str">
        <f t="shared" ref="C451:C514" si="7">B451&amp;":"&amp;A451</f>
        <v>Sporothrix sp.:7410</v>
      </c>
      <c r="D451" t="s">
        <v>794</v>
      </c>
    </row>
    <row r="452" spans="1:4">
      <c r="A452" s="1">
        <v>1311</v>
      </c>
      <c r="B452" s="1" t="s">
        <v>1347</v>
      </c>
      <c r="C452" s="2" t="str">
        <f t="shared" si="7"/>
        <v>Staphylococcus ,coagulase negative (CNS):1311</v>
      </c>
      <c r="D452" t="s">
        <v>795</v>
      </c>
    </row>
    <row r="453" spans="1:4">
      <c r="A453" s="1">
        <v>1303</v>
      </c>
      <c r="B453" s="1" t="s">
        <v>1348</v>
      </c>
      <c r="C453" s="2" t="str">
        <f t="shared" si="7"/>
        <v>Staphylococcus aureus (MRSA):1303</v>
      </c>
      <c r="D453" t="s">
        <v>796</v>
      </c>
    </row>
    <row r="454" spans="1:4">
      <c r="A454" s="1">
        <v>1304</v>
      </c>
      <c r="B454" s="1" t="s">
        <v>1349</v>
      </c>
      <c r="C454" s="2" t="str">
        <f t="shared" si="7"/>
        <v>Staphylococcus aureus (MSSA):1304</v>
      </c>
      <c r="D454" t="s">
        <v>797</v>
      </c>
    </row>
    <row r="455" spans="1:4">
      <c r="A455" s="1">
        <v>1305</v>
      </c>
      <c r="B455" s="1" t="s">
        <v>1350</v>
      </c>
      <c r="C455" s="2" t="str">
        <f t="shared" si="7"/>
        <v>Staphylococcus aureus (MSSA) (beta-lactamase non-producing):1305</v>
      </c>
      <c r="D455" t="s">
        <v>798</v>
      </c>
    </row>
    <row r="456" spans="1:4">
      <c r="A456" s="1">
        <v>1306</v>
      </c>
      <c r="B456" s="1" t="s">
        <v>1351</v>
      </c>
      <c r="C456" s="2" t="str">
        <f t="shared" si="7"/>
        <v>Staphylococcus aureus (MSSA) (beta-lactamase producing):1306</v>
      </c>
      <c r="D456" t="s">
        <v>799</v>
      </c>
    </row>
    <row r="457" spans="1:4">
      <c r="A457" s="1">
        <v>1301</v>
      </c>
      <c r="B457" s="1" t="s">
        <v>1352</v>
      </c>
      <c r="C457" s="2" t="str">
        <f t="shared" si="7"/>
        <v>Staphylococcus aureus subsp. aureus:1301</v>
      </c>
      <c r="D457" t="s">
        <v>800</v>
      </c>
    </row>
    <row r="458" spans="1:4">
      <c r="A458" s="1">
        <v>1317</v>
      </c>
      <c r="B458" s="1" t="s">
        <v>1353</v>
      </c>
      <c r="C458" s="2" t="str">
        <f t="shared" si="7"/>
        <v>Staphylococcus auricularis:1317</v>
      </c>
      <c r="D458" t="s">
        <v>801</v>
      </c>
    </row>
    <row r="459" spans="1:4">
      <c r="A459" s="1">
        <v>1325</v>
      </c>
      <c r="B459" s="1" t="s">
        <v>1354</v>
      </c>
      <c r="C459" s="2" t="str">
        <f t="shared" si="7"/>
        <v>Staphylococcus capitis subsp. capitis:1325</v>
      </c>
      <c r="D459" t="s">
        <v>802</v>
      </c>
    </row>
    <row r="460" spans="1:4">
      <c r="A460" s="1">
        <v>1319</v>
      </c>
      <c r="B460" s="1" t="s">
        <v>1355</v>
      </c>
      <c r="C460" s="2" t="str">
        <f t="shared" si="7"/>
        <v>Staphylococcus cohnii subsp. cohnii:1319</v>
      </c>
      <c r="D460" t="s">
        <v>803</v>
      </c>
    </row>
    <row r="461" spans="1:4">
      <c r="A461" s="1">
        <v>1312</v>
      </c>
      <c r="B461" s="1" t="s">
        <v>1356</v>
      </c>
      <c r="C461" s="2" t="str">
        <f t="shared" si="7"/>
        <v>Staphylococcus epidermidis:1312</v>
      </c>
      <c r="D461" t="s">
        <v>804</v>
      </c>
    </row>
    <row r="462" spans="1:4">
      <c r="A462" s="1">
        <v>1324</v>
      </c>
      <c r="B462" s="1" t="s">
        <v>1357</v>
      </c>
      <c r="C462" s="2" t="str">
        <f t="shared" si="7"/>
        <v>Staphylococcus haemolyticus:1324</v>
      </c>
      <c r="D462" t="s">
        <v>805</v>
      </c>
    </row>
    <row r="463" spans="1:4">
      <c r="A463" s="1">
        <v>1314</v>
      </c>
      <c r="B463" s="1" t="s">
        <v>1358</v>
      </c>
      <c r="C463" s="2" t="str">
        <f t="shared" si="7"/>
        <v>Staphylococcus hominis subsp. hominis:1314</v>
      </c>
      <c r="D463" t="s">
        <v>806</v>
      </c>
    </row>
    <row r="464" spans="1:4">
      <c r="A464" s="1">
        <v>1323</v>
      </c>
      <c r="B464" s="1" t="s">
        <v>1359</v>
      </c>
      <c r="C464" s="2" t="str">
        <f t="shared" si="7"/>
        <v>Staphylococcus hyicus:1323</v>
      </c>
      <c r="D464" t="s">
        <v>807</v>
      </c>
    </row>
    <row r="465" spans="1:4">
      <c r="A465" s="1">
        <v>1322</v>
      </c>
      <c r="B465" s="1" t="s">
        <v>1360</v>
      </c>
      <c r="C465" s="2" t="str">
        <f t="shared" si="7"/>
        <v>Staphylococcus intermedius:1322</v>
      </c>
      <c r="D465" t="s">
        <v>808</v>
      </c>
    </row>
    <row r="466" spans="1:4">
      <c r="A466" s="1">
        <v>1316</v>
      </c>
      <c r="B466" s="1" t="s">
        <v>1361</v>
      </c>
      <c r="C466" s="2" t="str">
        <f t="shared" si="7"/>
        <v>Staphylococcus lentus:1316</v>
      </c>
      <c r="D466" t="s">
        <v>809</v>
      </c>
    </row>
    <row r="467" spans="1:4">
      <c r="A467" s="1">
        <v>1326</v>
      </c>
      <c r="B467" s="1" t="s">
        <v>1362</v>
      </c>
      <c r="C467" s="2" t="str">
        <f t="shared" si="7"/>
        <v>Staphylococcus lugdunensis:1326</v>
      </c>
      <c r="D467" t="s">
        <v>1449</v>
      </c>
    </row>
    <row r="468" spans="1:4">
      <c r="A468" s="1">
        <v>1327</v>
      </c>
      <c r="B468" s="1" t="s">
        <v>1363</v>
      </c>
      <c r="C468" s="2" t="str">
        <f t="shared" si="7"/>
        <v>Staphylococcus pseudintermedius:1327</v>
      </c>
      <c r="D468" t="s">
        <v>1450</v>
      </c>
    </row>
    <row r="469" spans="1:4">
      <c r="A469" s="1">
        <v>1313</v>
      </c>
      <c r="B469" s="1" t="s">
        <v>1364</v>
      </c>
      <c r="C469" s="2" t="str">
        <f t="shared" si="7"/>
        <v>Staphylococcus saprophyticus subsp. saprophyticus:1313</v>
      </c>
      <c r="D469" t="s">
        <v>810</v>
      </c>
    </row>
    <row r="470" spans="1:4">
      <c r="A470" s="1">
        <v>1328</v>
      </c>
      <c r="B470" s="1" t="s">
        <v>1365</v>
      </c>
      <c r="C470" s="2" t="str">
        <f t="shared" si="7"/>
        <v>Staphylococcus schleiferi:1328</v>
      </c>
      <c r="D470" t="s">
        <v>1451</v>
      </c>
    </row>
    <row r="471" spans="1:4">
      <c r="A471" s="1">
        <v>1321</v>
      </c>
      <c r="B471" s="1" t="s">
        <v>1366</v>
      </c>
      <c r="C471" s="2" t="str">
        <f t="shared" si="7"/>
        <v>Staphylococcus sciuri subsp. sciuri:1321</v>
      </c>
      <c r="D471" t="s">
        <v>811</v>
      </c>
    </row>
    <row r="472" spans="1:4">
      <c r="A472" s="1">
        <v>1318</v>
      </c>
      <c r="B472" s="1" t="s">
        <v>1367</v>
      </c>
      <c r="C472" s="2" t="str">
        <f t="shared" si="7"/>
        <v>Staphylococcus simulans:1318</v>
      </c>
      <c r="D472" t="s">
        <v>812</v>
      </c>
    </row>
    <row r="473" spans="1:4">
      <c r="A473" s="1">
        <v>1300</v>
      </c>
      <c r="B473" s="1" t="s">
        <v>1368</v>
      </c>
      <c r="C473" s="2" t="str">
        <f t="shared" si="7"/>
        <v>Staphylococcus sp.:1300</v>
      </c>
      <c r="D473" t="s">
        <v>813</v>
      </c>
    </row>
    <row r="474" spans="1:4">
      <c r="A474" s="1">
        <v>1315</v>
      </c>
      <c r="B474" s="1" t="s">
        <v>1369</v>
      </c>
      <c r="C474" s="2" t="str">
        <f t="shared" si="7"/>
        <v>Staphylococcus warneri:1315</v>
      </c>
      <c r="D474" t="s">
        <v>814</v>
      </c>
    </row>
    <row r="475" spans="1:4">
      <c r="A475" s="1">
        <v>1320</v>
      </c>
      <c r="B475" s="1" t="s">
        <v>1370</v>
      </c>
      <c r="C475" s="2" t="str">
        <f t="shared" si="7"/>
        <v>Staphylococcus xylosus:1320</v>
      </c>
      <c r="D475" t="s">
        <v>815</v>
      </c>
    </row>
    <row r="476" spans="1:4">
      <c r="A476" s="1">
        <v>4151</v>
      </c>
      <c r="B476" s="1" t="s">
        <v>1371</v>
      </c>
      <c r="C476" s="2" t="str">
        <f t="shared" si="7"/>
        <v>Stenotrophomonas maltophilia:4151</v>
      </c>
      <c r="D476" t="s">
        <v>816</v>
      </c>
    </row>
    <row r="477" spans="1:4">
      <c r="A477" s="1">
        <v>4150</v>
      </c>
      <c r="B477" s="1" t="s">
        <v>1372</v>
      </c>
      <c r="C477" s="2" t="str">
        <f t="shared" si="7"/>
        <v>Stenotrophomonas sp.:4150</v>
      </c>
      <c r="D477" t="s">
        <v>817</v>
      </c>
    </row>
    <row r="478" spans="1:4">
      <c r="A478" s="1">
        <v>9889</v>
      </c>
      <c r="B478" s="1" t="s">
        <v>1373</v>
      </c>
      <c r="C478" s="2" t="str">
        <f t="shared" si="7"/>
        <v>Streptobacillus:9889</v>
      </c>
      <c r="D478" t="s">
        <v>818</v>
      </c>
    </row>
    <row r="479" spans="1:4">
      <c r="A479" s="1">
        <v>1151</v>
      </c>
      <c r="B479" s="1" t="s">
        <v>1374</v>
      </c>
      <c r="C479" s="2" t="str">
        <f t="shared" si="7"/>
        <v>Streptococcus acidominimus:1151</v>
      </c>
      <c r="D479" t="s">
        <v>819</v>
      </c>
    </row>
    <row r="480" spans="1:4">
      <c r="A480" s="1">
        <v>1114</v>
      </c>
      <c r="B480" s="1" t="s">
        <v>1375</v>
      </c>
      <c r="C480" s="2" t="str">
        <f t="shared" si="7"/>
        <v>Streptococcus agalactiae:1114</v>
      </c>
      <c r="D480" t="s">
        <v>820</v>
      </c>
    </row>
    <row r="481" spans="1:4">
      <c r="A481" s="1">
        <v>1144</v>
      </c>
      <c r="B481" s="1" t="s">
        <v>1376</v>
      </c>
      <c r="C481" s="2" t="str">
        <f t="shared" si="7"/>
        <v>Streptococcus anginosus:1144</v>
      </c>
      <c r="D481" t="s">
        <v>821</v>
      </c>
    </row>
    <row r="482" spans="1:4">
      <c r="A482" s="1">
        <v>1146</v>
      </c>
      <c r="B482" s="1" t="s">
        <v>1377</v>
      </c>
      <c r="C482" s="2" t="str">
        <f t="shared" si="7"/>
        <v>Streptococcus bovis:1146</v>
      </c>
      <c r="D482" t="s">
        <v>822</v>
      </c>
    </row>
    <row r="483" spans="1:4">
      <c r="A483" s="1">
        <v>1150</v>
      </c>
      <c r="B483" s="1" t="s">
        <v>1378</v>
      </c>
      <c r="C483" s="2" t="str">
        <f t="shared" si="7"/>
        <v>Streptococcus constellatus subsp. constellatus:1150</v>
      </c>
      <c r="D483" t="s">
        <v>823</v>
      </c>
    </row>
    <row r="484" spans="1:4">
      <c r="A484" s="1">
        <v>1153</v>
      </c>
      <c r="B484" s="1" t="s">
        <v>1379</v>
      </c>
      <c r="C484" s="2" t="str">
        <f t="shared" si="7"/>
        <v>Streptococcus dysgalactiae subsp.equisimilis:1153</v>
      </c>
      <c r="D484" t="s">
        <v>1452</v>
      </c>
    </row>
    <row r="485" spans="1:4">
      <c r="A485" s="1">
        <v>1148</v>
      </c>
      <c r="B485" s="1" t="s">
        <v>1380</v>
      </c>
      <c r="C485" s="2" t="str">
        <f t="shared" si="7"/>
        <v>Streptococcus equinus:1148</v>
      </c>
      <c r="D485" t="s">
        <v>824</v>
      </c>
    </row>
    <row r="486" spans="1:4">
      <c r="A486" s="1">
        <v>1145</v>
      </c>
      <c r="B486" s="1" t="s">
        <v>1381</v>
      </c>
      <c r="C486" s="2" t="str">
        <f t="shared" si="7"/>
        <v>Streptococcus intermedius:1145</v>
      </c>
      <c r="D486" t="s">
        <v>825</v>
      </c>
    </row>
    <row r="487" spans="1:4">
      <c r="A487" s="1">
        <v>1143</v>
      </c>
      <c r="B487" s="1" t="s">
        <v>1382</v>
      </c>
      <c r="C487" s="2" t="str">
        <f t="shared" si="7"/>
        <v>Streptococcus mitis:1143</v>
      </c>
      <c r="D487" t="s">
        <v>826</v>
      </c>
    </row>
    <row r="488" spans="1:4">
      <c r="A488" s="1">
        <v>1141</v>
      </c>
      <c r="B488" s="1" t="s">
        <v>1383</v>
      </c>
      <c r="C488" s="2" t="str">
        <f t="shared" si="7"/>
        <v>Streptococcus mutans:1141</v>
      </c>
      <c r="D488" t="s">
        <v>827</v>
      </c>
    </row>
    <row r="489" spans="1:4">
      <c r="A489" s="1">
        <v>1131</v>
      </c>
      <c r="B489" s="1" t="s">
        <v>1384</v>
      </c>
      <c r="C489" s="2" t="str">
        <f t="shared" si="7"/>
        <v>Streptococcus pneumoniae:1131</v>
      </c>
      <c r="D489" t="s">
        <v>828</v>
      </c>
    </row>
    <row r="490" spans="1:4">
      <c r="A490" s="1">
        <v>1111</v>
      </c>
      <c r="B490" s="1" t="s">
        <v>1385</v>
      </c>
      <c r="C490" s="2" t="str">
        <f t="shared" si="7"/>
        <v>Streptococcus pyogenes:1111</v>
      </c>
      <c r="D490" t="s">
        <v>829</v>
      </c>
    </row>
    <row r="491" spans="1:4">
      <c r="A491" s="1">
        <v>1147</v>
      </c>
      <c r="B491" s="1" t="s">
        <v>1386</v>
      </c>
      <c r="C491" s="2" t="str">
        <f t="shared" si="7"/>
        <v>Streptococcus salivarius:1147</v>
      </c>
      <c r="D491" t="s">
        <v>830</v>
      </c>
    </row>
    <row r="492" spans="1:4">
      <c r="A492" s="1">
        <v>1142</v>
      </c>
      <c r="B492" s="1" t="s">
        <v>1387</v>
      </c>
      <c r="C492" s="2" t="str">
        <f t="shared" si="7"/>
        <v>Streptococcus sanguis:1142</v>
      </c>
      <c r="D492" t="s">
        <v>831</v>
      </c>
    </row>
    <row r="493" spans="1:4">
      <c r="A493" s="1">
        <v>1100</v>
      </c>
      <c r="B493" s="1" t="s">
        <v>1388</v>
      </c>
      <c r="C493" s="2" t="str">
        <f t="shared" si="7"/>
        <v>Streptococcus sp.:1100</v>
      </c>
      <c r="D493" t="s">
        <v>281</v>
      </c>
    </row>
    <row r="494" spans="1:4">
      <c r="A494" s="1">
        <v>1152</v>
      </c>
      <c r="B494" s="1" t="s">
        <v>1389</v>
      </c>
      <c r="C494" s="2" t="str">
        <f t="shared" si="7"/>
        <v>Streptococcus suis:1152</v>
      </c>
      <c r="D494" t="s">
        <v>1453</v>
      </c>
    </row>
    <row r="495" spans="1:4">
      <c r="A495" s="1">
        <v>1149</v>
      </c>
      <c r="B495" s="1" t="s">
        <v>1390</v>
      </c>
      <c r="C495" s="2" t="str">
        <f t="shared" si="7"/>
        <v>Streptococcus uberis:1149</v>
      </c>
      <c r="D495" t="s">
        <v>832</v>
      </c>
    </row>
    <row r="496" spans="1:4">
      <c r="A496" s="1">
        <v>9890</v>
      </c>
      <c r="B496" s="1" t="s">
        <v>1391</v>
      </c>
      <c r="C496" s="2" t="str">
        <f t="shared" si="7"/>
        <v>Streptomyces:9890</v>
      </c>
      <c r="D496" t="s">
        <v>833</v>
      </c>
    </row>
    <row r="497" spans="1:4">
      <c r="A497" s="1">
        <v>9891</v>
      </c>
      <c r="B497" s="1" t="s">
        <v>1392</v>
      </c>
      <c r="C497" s="2" t="str">
        <f t="shared" si="7"/>
        <v>Succinivibrio:9891</v>
      </c>
      <c r="D497" t="s">
        <v>834</v>
      </c>
    </row>
    <row r="498" spans="1:4">
      <c r="A498" s="1">
        <v>9892</v>
      </c>
      <c r="B498" s="1" t="s">
        <v>1393</v>
      </c>
      <c r="C498" s="2" t="str">
        <f t="shared" si="7"/>
        <v>Suttonella:9892</v>
      </c>
      <c r="D498" t="s">
        <v>835</v>
      </c>
    </row>
    <row r="499" spans="1:4">
      <c r="A499" s="1">
        <v>2611</v>
      </c>
      <c r="B499" s="1" t="s">
        <v>1394</v>
      </c>
      <c r="C499" s="2" t="str">
        <f t="shared" si="7"/>
        <v>Tatumella ptyseos:2611</v>
      </c>
      <c r="D499" t="s">
        <v>836</v>
      </c>
    </row>
    <row r="500" spans="1:4">
      <c r="A500" s="1">
        <v>2610</v>
      </c>
      <c r="B500" s="1" t="s">
        <v>1395</v>
      </c>
      <c r="C500" s="2" t="str">
        <f t="shared" si="7"/>
        <v>Tatumella sp.:2610</v>
      </c>
      <c r="D500" t="s">
        <v>837</v>
      </c>
    </row>
    <row r="501" spans="1:4">
      <c r="A501" s="1">
        <v>9893</v>
      </c>
      <c r="B501" s="1" t="s">
        <v>1396</v>
      </c>
      <c r="C501" s="2" t="str">
        <f t="shared" si="7"/>
        <v>Taylorella:9893</v>
      </c>
      <c r="D501" t="s">
        <v>838</v>
      </c>
    </row>
    <row r="502" spans="1:4">
      <c r="A502" s="1">
        <v>9894</v>
      </c>
      <c r="B502" s="1" t="s">
        <v>1397</v>
      </c>
      <c r="C502" s="2" t="str">
        <f t="shared" si="7"/>
        <v>Tetragenococcus:9894</v>
      </c>
      <c r="D502" t="s">
        <v>839</v>
      </c>
    </row>
    <row r="503" spans="1:4">
      <c r="A503" s="1">
        <v>9895</v>
      </c>
      <c r="B503" s="1" t="s">
        <v>1398</v>
      </c>
      <c r="C503" s="2" t="str">
        <f t="shared" si="7"/>
        <v>Thermoactinomyces:9895</v>
      </c>
      <c r="D503" t="s">
        <v>840</v>
      </c>
    </row>
    <row r="504" spans="1:4">
      <c r="A504" s="1">
        <v>9896</v>
      </c>
      <c r="B504" s="1" t="s">
        <v>1399</v>
      </c>
      <c r="C504" s="2" t="str">
        <f t="shared" si="7"/>
        <v>Tissierella:9896</v>
      </c>
      <c r="D504" t="s">
        <v>841</v>
      </c>
    </row>
    <row r="505" spans="1:4">
      <c r="A505" s="1">
        <v>9081</v>
      </c>
      <c r="B505" s="1" t="s">
        <v>1400</v>
      </c>
      <c r="C505" s="2" t="str">
        <f t="shared" si="7"/>
        <v>Toxoplasma gondii:9081</v>
      </c>
      <c r="D505" t="s">
        <v>842</v>
      </c>
    </row>
    <row r="506" spans="1:4">
      <c r="A506" s="1">
        <v>9080</v>
      </c>
      <c r="B506" s="1" t="s">
        <v>1401</v>
      </c>
      <c r="C506" s="2" t="str">
        <f t="shared" si="7"/>
        <v>Toxoplasma sp.:9080</v>
      </c>
      <c r="D506" t="s">
        <v>843</v>
      </c>
    </row>
    <row r="507" spans="1:4">
      <c r="A507" s="1">
        <v>9897</v>
      </c>
      <c r="B507" s="1" t="s">
        <v>1402</v>
      </c>
      <c r="C507" s="2" t="str">
        <f t="shared" si="7"/>
        <v>Trabulsiella:9897</v>
      </c>
      <c r="D507" t="s">
        <v>844</v>
      </c>
    </row>
    <row r="508" spans="1:4">
      <c r="A508" s="1">
        <v>8301</v>
      </c>
      <c r="B508" s="1" t="s">
        <v>1403</v>
      </c>
      <c r="C508" s="2" t="str">
        <f t="shared" si="7"/>
        <v>Treponema pallidum:8301</v>
      </c>
      <c r="D508" t="s">
        <v>845</v>
      </c>
    </row>
    <row r="509" spans="1:4">
      <c r="A509" s="1">
        <v>8300</v>
      </c>
      <c r="B509" s="1" t="s">
        <v>1404</v>
      </c>
      <c r="C509" s="2" t="str">
        <f t="shared" si="7"/>
        <v>Treponema sp.:8300</v>
      </c>
      <c r="D509" t="s">
        <v>846</v>
      </c>
    </row>
    <row r="510" spans="1:4">
      <c r="A510" s="1">
        <v>9070</v>
      </c>
      <c r="B510" s="1" t="s">
        <v>1405</v>
      </c>
      <c r="C510" s="2" t="str">
        <f t="shared" si="7"/>
        <v>Trichomonas sp.:9070</v>
      </c>
      <c r="D510" t="s">
        <v>847</v>
      </c>
    </row>
    <row r="511" spans="1:4">
      <c r="A511" s="1">
        <v>9071</v>
      </c>
      <c r="B511" s="1" t="s">
        <v>1406</v>
      </c>
      <c r="C511" s="2" t="str">
        <f t="shared" si="7"/>
        <v>Trichomonas vaginalis:9071</v>
      </c>
      <c r="D511" t="s">
        <v>848</v>
      </c>
    </row>
    <row r="512" spans="1:4">
      <c r="A512" s="1">
        <v>7322</v>
      </c>
      <c r="B512" s="1" t="s">
        <v>1407</v>
      </c>
      <c r="C512" s="2" t="str">
        <f t="shared" si="7"/>
        <v>Trichophyton mentagrophytes:7322</v>
      </c>
      <c r="D512" t="s">
        <v>849</v>
      </c>
    </row>
    <row r="513" spans="1:4">
      <c r="A513" s="1">
        <v>7321</v>
      </c>
      <c r="B513" s="1" t="s">
        <v>1408</v>
      </c>
      <c r="C513" s="2" t="str">
        <f t="shared" si="7"/>
        <v>Trichophyton rubrum:7321</v>
      </c>
      <c r="D513" t="s">
        <v>850</v>
      </c>
    </row>
    <row r="514" spans="1:4">
      <c r="A514" s="1">
        <v>7320</v>
      </c>
      <c r="B514" s="1" t="s">
        <v>1409</v>
      </c>
      <c r="C514" s="2" t="str">
        <f t="shared" si="7"/>
        <v>Trichophyton sp.:7320</v>
      </c>
      <c r="D514" t="s">
        <v>851</v>
      </c>
    </row>
    <row r="515" spans="1:4">
      <c r="A515" s="1">
        <v>7323</v>
      </c>
      <c r="B515" s="1" t="s">
        <v>1410</v>
      </c>
      <c r="C515" s="2" t="str">
        <f t="shared" ref="C515:C549" si="8">B515&amp;":"&amp;A515</f>
        <v>Trichophyton tonsurans:7323</v>
      </c>
      <c r="D515" t="s">
        <v>852</v>
      </c>
    </row>
    <row r="516" spans="1:4">
      <c r="A516" s="1">
        <v>7123</v>
      </c>
      <c r="B516" s="1" t="s">
        <v>1411</v>
      </c>
      <c r="C516" s="2" t="str">
        <f t="shared" si="8"/>
        <v>Trichosporon asahii:7123</v>
      </c>
      <c r="D516" t="s">
        <v>853</v>
      </c>
    </row>
    <row r="517" spans="1:4">
      <c r="A517" s="1">
        <v>7122</v>
      </c>
      <c r="B517" s="1" t="s">
        <v>1412</v>
      </c>
      <c r="C517" s="2" t="str">
        <f t="shared" si="8"/>
        <v>Trichosporon capitatum:7122</v>
      </c>
      <c r="D517" t="s">
        <v>854</v>
      </c>
    </row>
    <row r="518" spans="1:4">
      <c r="A518" s="1">
        <v>7124</v>
      </c>
      <c r="B518" s="1" t="s">
        <v>1413</v>
      </c>
      <c r="C518" s="2" t="str">
        <f t="shared" si="8"/>
        <v>Trichosporon mucoides:7124</v>
      </c>
      <c r="D518" t="s">
        <v>855</v>
      </c>
    </row>
    <row r="519" spans="1:4">
      <c r="A519" s="1">
        <v>7120</v>
      </c>
      <c r="B519" s="1" t="s">
        <v>1414</v>
      </c>
      <c r="C519" s="2" t="str">
        <f t="shared" si="8"/>
        <v>Trichosporon sp.:7120</v>
      </c>
      <c r="D519" t="s">
        <v>856</v>
      </c>
    </row>
    <row r="520" spans="1:4">
      <c r="A520" s="1">
        <v>9898</v>
      </c>
      <c r="B520" s="1" t="s">
        <v>1415</v>
      </c>
      <c r="C520" s="2" t="str">
        <f t="shared" si="8"/>
        <v>Tsukamurella:9898</v>
      </c>
      <c r="D520" t="s">
        <v>857</v>
      </c>
    </row>
    <row r="521" spans="1:4">
      <c r="A521" s="1">
        <v>9899</v>
      </c>
      <c r="B521" s="1" t="s">
        <v>1416</v>
      </c>
      <c r="C521" s="2" t="str">
        <f t="shared" si="8"/>
        <v>Turicella:9899</v>
      </c>
      <c r="D521" t="s">
        <v>858</v>
      </c>
    </row>
    <row r="522" spans="1:4">
      <c r="A522" s="1">
        <v>8100</v>
      </c>
      <c r="B522" s="1" t="s">
        <v>1417</v>
      </c>
      <c r="C522" s="2" t="str">
        <f t="shared" si="8"/>
        <v>Ureaplasma sp.:8100</v>
      </c>
      <c r="D522" t="s">
        <v>859</v>
      </c>
    </row>
    <row r="523" spans="1:4">
      <c r="A523" s="1">
        <v>8101</v>
      </c>
      <c r="B523" s="1" t="s">
        <v>1418</v>
      </c>
      <c r="C523" s="2" t="str">
        <f t="shared" si="8"/>
        <v>Ureaplasma urealyticum:8101</v>
      </c>
      <c r="D523" t="s">
        <v>860</v>
      </c>
    </row>
    <row r="524" spans="1:4">
      <c r="A524" s="1">
        <v>9900</v>
      </c>
      <c r="B524" s="1" t="s">
        <v>1419</v>
      </c>
      <c r="C524" s="2" t="str">
        <f t="shared" si="8"/>
        <v>Vagococcus:9900</v>
      </c>
      <c r="D524" t="s">
        <v>861</v>
      </c>
    </row>
    <row r="525" spans="1:4">
      <c r="A525" s="1">
        <v>5801</v>
      </c>
      <c r="B525" s="1" t="s">
        <v>1420</v>
      </c>
      <c r="C525" s="2" t="str">
        <f t="shared" si="8"/>
        <v>Veillonella parvula:5801</v>
      </c>
      <c r="D525" t="s">
        <v>862</v>
      </c>
    </row>
    <row r="526" spans="1:4">
      <c r="A526" s="1">
        <v>5800</v>
      </c>
      <c r="B526" s="1" t="s">
        <v>1421</v>
      </c>
      <c r="C526" s="2" t="str">
        <f t="shared" si="8"/>
        <v>Veillonella sp.:5800</v>
      </c>
      <c r="D526" t="s">
        <v>863</v>
      </c>
    </row>
    <row r="527" spans="1:4">
      <c r="A527" s="1">
        <v>3008</v>
      </c>
      <c r="B527" s="1" t="s">
        <v>1422</v>
      </c>
      <c r="C527" s="2" t="str">
        <f t="shared" si="8"/>
        <v>Vibrio alginolyticus:3008</v>
      </c>
      <c r="D527" t="s">
        <v>864</v>
      </c>
    </row>
    <row r="528" spans="1:4">
      <c r="A528" s="1">
        <v>3001</v>
      </c>
      <c r="B528" s="1" t="s">
        <v>1423</v>
      </c>
      <c r="C528" s="2" t="str">
        <f t="shared" si="8"/>
        <v>Vibrio cholerae O-1:3001</v>
      </c>
      <c r="D528" t="s">
        <v>866</v>
      </c>
    </row>
    <row r="529" spans="1:4">
      <c r="A529" s="1">
        <v>3002</v>
      </c>
      <c r="B529" s="1" t="s">
        <v>1424</v>
      </c>
      <c r="C529" s="2" t="str">
        <f t="shared" si="8"/>
        <v>Vibrio cholerae O-139:3002</v>
      </c>
      <c r="D529" t="s">
        <v>867</v>
      </c>
    </row>
    <row r="530" spans="1:4">
      <c r="A530" s="1">
        <v>3003</v>
      </c>
      <c r="B530" s="1" t="s">
        <v>1425</v>
      </c>
      <c r="C530" s="2" t="str">
        <f t="shared" si="8"/>
        <v>Vibrio cholerae non O-1:3003</v>
      </c>
      <c r="D530" t="s">
        <v>865</v>
      </c>
    </row>
    <row r="531" spans="1:4">
      <c r="A531" s="1">
        <v>3005</v>
      </c>
      <c r="B531" s="1" t="s">
        <v>1426</v>
      </c>
      <c r="C531" s="2" t="str">
        <f t="shared" si="8"/>
        <v>Vibrio fluvialis:3005</v>
      </c>
      <c r="D531" t="s">
        <v>868</v>
      </c>
    </row>
    <row r="532" spans="1:4">
      <c r="A532" s="1">
        <v>3009</v>
      </c>
      <c r="B532" s="1" t="s">
        <v>1427</v>
      </c>
      <c r="C532" s="2" t="str">
        <f t="shared" si="8"/>
        <v>Vibrio furnissii:3009</v>
      </c>
      <c r="D532" t="s">
        <v>869</v>
      </c>
    </row>
    <row r="533" spans="1:4">
      <c r="A533" s="1">
        <v>3006</v>
      </c>
      <c r="B533" s="1" t="s">
        <v>1428</v>
      </c>
      <c r="C533" s="2" t="str">
        <f t="shared" si="8"/>
        <v>Vibrio mimicus:3006</v>
      </c>
      <c r="D533" t="s">
        <v>870</v>
      </c>
    </row>
    <row r="534" spans="1:4">
      <c r="A534" s="1">
        <v>3004</v>
      </c>
      <c r="B534" s="1" t="s">
        <v>1429</v>
      </c>
      <c r="C534" s="2" t="str">
        <f t="shared" si="8"/>
        <v>Vibrio parahaemolyticus:3004</v>
      </c>
      <c r="D534" t="s">
        <v>871</v>
      </c>
    </row>
    <row r="535" spans="1:4">
      <c r="A535" s="1">
        <v>3000</v>
      </c>
      <c r="B535" s="1" t="s">
        <v>1430</v>
      </c>
      <c r="C535" s="2" t="str">
        <f t="shared" si="8"/>
        <v>Vibrio sp.:3000</v>
      </c>
      <c r="D535" t="s">
        <v>872</v>
      </c>
    </row>
    <row r="536" spans="1:4">
      <c r="A536" s="1">
        <v>3007</v>
      </c>
      <c r="B536" s="1" t="s">
        <v>1431</v>
      </c>
      <c r="C536" s="2" t="str">
        <f t="shared" si="8"/>
        <v>Vibrio vulnificus:3007</v>
      </c>
      <c r="D536" t="s">
        <v>873</v>
      </c>
    </row>
    <row r="537" spans="1:4">
      <c r="A537" s="1">
        <v>9901</v>
      </c>
      <c r="B537" s="1" t="s">
        <v>1432</v>
      </c>
      <c r="C537" s="2" t="str">
        <f t="shared" si="8"/>
        <v>Weeksella:9901</v>
      </c>
      <c r="D537" t="s">
        <v>874</v>
      </c>
    </row>
    <row r="538" spans="1:4">
      <c r="A538" s="1">
        <v>9902</v>
      </c>
      <c r="B538" s="1" t="s">
        <v>1433</v>
      </c>
      <c r="C538" s="2" t="str">
        <f t="shared" si="8"/>
        <v>Weissella:9902</v>
      </c>
      <c r="D538" t="s">
        <v>875</v>
      </c>
    </row>
    <row r="539" spans="1:4">
      <c r="A539" s="1">
        <v>9903</v>
      </c>
      <c r="B539" s="1" t="s">
        <v>1434</v>
      </c>
      <c r="C539" s="2" t="str">
        <f t="shared" si="8"/>
        <v>Wolinella:9903</v>
      </c>
      <c r="D539" t="s">
        <v>876</v>
      </c>
    </row>
    <row r="540" spans="1:4">
      <c r="A540" s="1">
        <v>9904</v>
      </c>
      <c r="B540" s="1" t="s">
        <v>1435</v>
      </c>
      <c r="C540" s="2" t="str">
        <f t="shared" si="8"/>
        <v>Xenorhabdus:9904</v>
      </c>
      <c r="D540" t="s">
        <v>877</v>
      </c>
    </row>
    <row r="541" spans="1:4">
      <c r="A541" s="1">
        <v>1015</v>
      </c>
      <c r="B541" s="1" t="s">
        <v>1436</v>
      </c>
      <c r="C541" s="2" t="str">
        <f t="shared" si="8"/>
        <v>Yeasts:1015</v>
      </c>
      <c r="D541" t="s">
        <v>878</v>
      </c>
    </row>
    <row r="542" spans="1:4">
      <c r="A542" s="1">
        <v>2401</v>
      </c>
      <c r="B542" s="1" t="s">
        <v>1437</v>
      </c>
      <c r="C542" s="2" t="str">
        <f t="shared" si="8"/>
        <v>Yersinia enterocolitica subsp. enterocolitica:2401</v>
      </c>
      <c r="D542" t="s">
        <v>879</v>
      </c>
    </row>
    <row r="543" spans="1:4">
      <c r="A543" s="1">
        <v>2403</v>
      </c>
      <c r="B543" s="1" t="s">
        <v>1438</v>
      </c>
      <c r="C543" s="2" t="str">
        <f t="shared" si="8"/>
        <v>Yersinia pestis:2403</v>
      </c>
      <c r="D543" t="s">
        <v>880</v>
      </c>
    </row>
    <row r="544" spans="1:4">
      <c r="A544" s="1">
        <v>2402</v>
      </c>
      <c r="B544" s="1" t="s">
        <v>1439</v>
      </c>
      <c r="C544" s="2" t="str">
        <f t="shared" si="8"/>
        <v>Yersinia pseudotuberculosis:2402</v>
      </c>
      <c r="D544" t="s">
        <v>881</v>
      </c>
    </row>
    <row r="545" spans="1:4">
      <c r="A545" s="1">
        <v>2400</v>
      </c>
      <c r="B545" s="1" t="s">
        <v>1440</v>
      </c>
      <c r="C545" s="2" t="str">
        <f t="shared" si="8"/>
        <v>Yersinia sp.:2400</v>
      </c>
      <c r="D545" t="s">
        <v>882</v>
      </c>
    </row>
    <row r="546" spans="1:4">
      <c r="A546" s="1">
        <v>9905</v>
      </c>
      <c r="B546" s="1" t="s">
        <v>1441</v>
      </c>
      <c r="C546" s="2" t="str">
        <f t="shared" si="8"/>
        <v>Yokenella:9905</v>
      </c>
      <c r="D546" t="s">
        <v>883</v>
      </c>
    </row>
    <row r="547" spans="1:4">
      <c r="A547" s="1">
        <v>1101</v>
      </c>
      <c r="B547" s="1" t="s">
        <v>1442</v>
      </c>
      <c r="C547" s="2" t="str">
        <f t="shared" si="8"/>
        <v>α-Streptococcus:1101</v>
      </c>
      <c r="D547" t="s">
        <v>884</v>
      </c>
    </row>
    <row r="548" spans="1:4">
      <c r="A548" s="1">
        <v>1102</v>
      </c>
      <c r="B548" s="1" t="s">
        <v>1443</v>
      </c>
      <c r="C548" s="2" t="str">
        <f t="shared" si="8"/>
        <v>β-Streptococcus:1102</v>
      </c>
      <c r="D548" t="s">
        <v>885</v>
      </c>
    </row>
    <row r="549" spans="1:4">
      <c r="A549" s="1">
        <v>1103</v>
      </c>
      <c r="B549" s="1" t="s">
        <v>1444</v>
      </c>
      <c r="C549" s="2" t="str">
        <f t="shared" si="8"/>
        <v>γ-Streptococcus:1103</v>
      </c>
      <c r="D549" t="s">
        <v>886</v>
      </c>
    </row>
  </sheetData>
  <sortState xmlns:xlrd2="http://schemas.microsoft.com/office/spreadsheetml/2017/richdata2" ref="A2:B543">
    <sortCondition ref="B2:B543"/>
  </sortState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_Mapping_Bacterium"/>
  <dimension ref="A1:B19"/>
  <sheetViews>
    <sheetView workbookViewId="0">
      <selection activeCell="B2" sqref="B2"/>
    </sheetView>
  </sheetViews>
  <sheetFormatPr defaultRowHeight="18.75"/>
  <cols>
    <col min="1" max="1" width="55.25" style="46" customWidth="1"/>
    <col min="2" max="2" width="54" bestFit="1" customWidth="1"/>
  </cols>
  <sheetData>
    <row r="1" spans="1:2" s="13" customFormat="1" ht="13.5">
      <c r="A1" s="45" t="s">
        <v>3</v>
      </c>
      <c r="B1" s="23" t="s">
        <v>4</v>
      </c>
    </row>
    <row r="2" spans="1:2" s="13" customFormat="1" ht="13.5">
      <c r="A2" s="41"/>
      <c r="B2" s="24"/>
    </row>
    <row r="3" spans="1:2" s="13" customFormat="1">
      <c r="A3"/>
      <c r="B3"/>
    </row>
    <row r="4" spans="1:2" s="13" customFormat="1">
      <c r="A4"/>
      <c r="B4"/>
    </row>
    <row r="5" spans="1:2" s="13" customFormat="1">
      <c r="A5"/>
      <c r="B5"/>
    </row>
    <row r="6" spans="1:2" s="13" customFormat="1">
      <c r="A6"/>
      <c r="B6"/>
    </row>
    <row r="7" spans="1:2" s="13" customFormat="1">
      <c r="A7"/>
      <c r="B7"/>
    </row>
    <row r="8" spans="1:2" s="13" customFormat="1">
      <c r="A8"/>
      <c r="B8"/>
    </row>
    <row r="9" spans="1:2" s="13" customFormat="1">
      <c r="A9"/>
      <c r="B9"/>
    </row>
    <row r="10" spans="1:2" s="13" customFormat="1">
      <c r="A10"/>
      <c r="B10"/>
    </row>
    <row r="11" spans="1:2" s="13" customFormat="1">
      <c r="A11"/>
      <c r="B11"/>
    </row>
    <row r="12" spans="1:2" s="13" customFormat="1">
      <c r="A12"/>
      <c r="B12"/>
    </row>
    <row r="13" spans="1:2" s="13" customFormat="1">
      <c r="A13"/>
      <c r="B13"/>
    </row>
    <row r="14" spans="1:2" s="13" customFormat="1">
      <c r="A14"/>
      <c r="B14"/>
    </row>
    <row r="15" spans="1:2" s="13" customFormat="1">
      <c r="A15"/>
      <c r="B15"/>
    </row>
    <row r="16" spans="1:2" s="13" customFormat="1">
      <c r="A16"/>
      <c r="B16"/>
    </row>
    <row r="17" spans="1:2" s="13" customFormat="1">
      <c r="A17"/>
      <c r="B17"/>
    </row>
    <row r="18" spans="1:2" s="13" customFormat="1">
      <c r="A18"/>
      <c r="B18"/>
    </row>
    <row r="19" spans="1:2" s="13" customFormat="1">
      <c r="A19"/>
      <c r="B19"/>
    </row>
  </sheetData>
  <sheetProtection sheet="1" objects="1" scenarios="1" formatCells="0" formatColumns="0"/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500-000000000000}">
          <x14:formula1>
            <xm:f>OFFSET(puldata_Bacterium!$D$1,1,0,COUNTA(puldata_Bacterium!$D:$D),1)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_Mapping_Antimicrobial"/>
  <dimension ref="A1:D56"/>
  <sheetViews>
    <sheetView zoomScale="85" zoomScaleNormal="85" workbookViewId="0">
      <pane ySplit="1" topLeftCell="A2" activePane="bottomLeft" state="frozen"/>
      <selection pane="bottomLeft" activeCell="F2" sqref="F2"/>
    </sheetView>
  </sheetViews>
  <sheetFormatPr defaultRowHeight="18.75"/>
  <cols>
    <col min="1" max="1" width="26" customWidth="1"/>
    <col min="2" max="2" width="31.375" customWidth="1"/>
    <col min="3" max="3" width="13.5" customWidth="1"/>
    <col min="4" max="4" width="13" customWidth="1"/>
    <col min="5" max="5" width="3.875" customWidth="1"/>
  </cols>
  <sheetData>
    <row r="1" spans="1:4" s="13" customFormat="1" ht="40.5">
      <c r="A1" s="25" t="s">
        <v>6</v>
      </c>
      <c r="B1" s="23" t="s">
        <v>195</v>
      </c>
      <c r="C1" s="38" t="s">
        <v>205</v>
      </c>
      <c r="D1" s="38" t="s">
        <v>206</v>
      </c>
    </row>
    <row r="2" spans="1:4" s="13" customFormat="1" ht="13.5">
      <c r="A2" s="42"/>
      <c r="B2" s="24" t="s">
        <v>193</v>
      </c>
      <c r="C2" s="37" t="s">
        <v>193</v>
      </c>
      <c r="D2" s="37" t="s">
        <v>193</v>
      </c>
    </row>
    <row r="3" spans="1:4" s="13" customFormat="1">
      <c r="A3"/>
      <c r="B3"/>
      <c r="C3"/>
      <c r="D3"/>
    </row>
    <row r="4" spans="1:4" s="13" customFormat="1">
      <c r="A4"/>
      <c r="B4"/>
      <c r="C4"/>
      <c r="D4"/>
    </row>
    <row r="5" spans="1:4" s="13" customFormat="1">
      <c r="A5"/>
      <c r="B5"/>
      <c r="C5"/>
      <c r="D5"/>
    </row>
    <row r="6" spans="1:4" s="13" customFormat="1">
      <c r="A6"/>
      <c r="B6"/>
      <c r="C6"/>
      <c r="D6"/>
    </row>
    <row r="7" spans="1:4" s="13" customFormat="1">
      <c r="A7"/>
      <c r="B7"/>
      <c r="C7"/>
      <c r="D7"/>
    </row>
    <row r="8" spans="1:4" s="13" customFormat="1">
      <c r="A8"/>
      <c r="B8"/>
      <c r="C8"/>
      <c r="D8"/>
    </row>
    <row r="9" spans="1:4" s="13" customFormat="1">
      <c r="A9"/>
      <c r="B9"/>
      <c r="C9"/>
      <c r="D9"/>
    </row>
    <row r="10" spans="1:4" s="13" customFormat="1">
      <c r="A10"/>
      <c r="B10"/>
      <c r="C10"/>
      <c r="D10"/>
    </row>
    <row r="11" spans="1:4" s="13" customFormat="1">
      <c r="A11"/>
      <c r="B11"/>
      <c r="C11"/>
      <c r="D11"/>
    </row>
    <row r="12" spans="1:4" s="13" customFormat="1">
      <c r="A12"/>
      <c r="B12"/>
      <c r="C12"/>
      <c r="D12"/>
    </row>
    <row r="13" spans="1:4" s="13" customFormat="1">
      <c r="A13"/>
      <c r="B13"/>
      <c r="C13"/>
      <c r="D13"/>
    </row>
    <row r="14" spans="1:4" s="13" customFormat="1">
      <c r="A14"/>
      <c r="B14"/>
      <c r="C14"/>
      <c r="D14"/>
    </row>
    <row r="15" spans="1:4" s="13" customFormat="1">
      <c r="A15"/>
      <c r="B15"/>
      <c r="C15"/>
      <c r="D15"/>
    </row>
    <row r="16" spans="1:4" s="13" customFormat="1">
      <c r="A16"/>
      <c r="B16"/>
      <c r="C16"/>
      <c r="D16"/>
    </row>
    <row r="17" spans="1:4" s="13" customFormat="1">
      <c r="A17"/>
      <c r="B17"/>
      <c r="C17"/>
      <c r="D17"/>
    </row>
    <row r="18" spans="1:4" s="13" customFormat="1">
      <c r="A18"/>
      <c r="B18"/>
      <c r="C18"/>
      <c r="D18"/>
    </row>
    <row r="19" spans="1:4" s="13" customFormat="1">
      <c r="A19"/>
      <c r="B19"/>
      <c r="C19"/>
      <c r="D19"/>
    </row>
    <row r="20" spans="1:4" s="13" customFormat="1">
      <c r="A20"/>
      <c r="B20"/>
      <c r="C20"/>
      <c r="D20"/>
    </row>
    <row r="21" spans="1:4" s="13" customFormat="1">
      <c r="A21"/>
      <c r="B21"/>
      <c r="C21"/>
      <c r="D21"/>
    </row>
    <row r="22" spans="1:4" s="13" customFormat="1">
      <c r="A22"/>
      <c r="B22"/>
      <c r="C22"/>
      <c r="D22"/>
    </row>
    <row r="23" spans="1:4" s="13" customFormat="1">
      <c r="A23"/>
      <c r="B23"/>
      <c r="C23"/>
      <c r="D23"/>
    </row>
    <row r="24" spans="1:4" s="13" customFormat="1">
      <c r="A24"/>
      <c r="B24"/>
      <c r="C24"/>
      <c r="D24"/>
    </row>
    <row r="25" spans="1:4" s="13" customFormat="1">
      <c r="A25"/>
      <c r="B25"/>
      <c r="C25"/>
      <c r="D25"/>
    </row>
    <row r="26" spans="1:4" s="13" customFormat="1">
      <c r="A26"/>
      <c r="B26"/>
      <c r="C26"/>
      <c r="D26"/>
    </row>
    <row r="27" spans="1:4" s="13" customFormat="1">
      <c r="A27"/>
      <c r="B27"/>
      <c r="C27"/>
      <c r="D27"/>
    </row>
    <row r="28" spans="1:4" s="13" customFormat="1">
      <c r="A28"/>
      <c r="B28"/>
      <c r="C28"/>
      <c r="D28"/>
    </row>
    <row r="29" spans="1:4" s="13" customFormat="1">
      <c r="A29"/>
      <c r="B29"/>
      <c r="C29"/>
      <c r="D29"/>
    </row>
    <row r="30" spans="1:4" s="13" customFormat="1">
      <c r="A30"/>
      <c r="B30"/>
      <c r="C30"/>
      <c r="D30"/>
    </row>
    <row r="31" spans="1:4" s="13" customFormat="1">
      <c r="A31"/>
      <c r="B31"/>
      <c r="C31"/>
      <c r="D31"/>
    </row>
    <row r="32" spans="1:4" s="13" customFormat="1">
      <c r="A32"/>
      <c r="B32"/>
      <c r="C32"/>
      <c r="D32"/>
    </row>
    <row r="33" spans="1:4" s="13" customFormat="1">
      <c r="A33"/>
      <c r="B33"/>
      <c r="C33"/>
      <c r="D33"/>
    </row>
    <row r="34" spans="1:4" s="13" customFormat="1">
      <c r="A34"/>
      <c r="B34"/>
      <c r="C34"/>
      <c r="D34"/>
    </row>
    <row r="35" spans="1:4" s="13" customFormat="1">
      <c r="A35"/>
      <c r="B35"/>
      <c r="C35"/>
      <c r="D35"/>
    </row>
    <row r="36" spans="1:4" s="13" customFormat="1">
      <c r="A36"/>
      <c r="B36"/>
      <c r="C36"/>
      <c r="D36"/>
    </row>
    <row r="37" spans="1:4" s="13" customFormat="1">
      <c r="A37"/>
      <c r="B37"/>
      <c r="C37"/>
      <c r="D37"/>
    </row>
    <row r="38" spans="1:4" s="13" customFormat="1">
      <c r="A38"/>
      <c r="B38"/>
      <c r="C38"/>
      <c r="D38"/>
    </row>
    <row r="39" spans="1:4" s="13" customFormat="1">
      <c r="A39"/>
      <c r="B39"/>
      <c r="C39"/>
      <c r="D39"/>
    </row>
    <row r="40" spans="1:4" s="13" customFormat="1">
      <c r="A40"/>
      <c r="B40"/>
      <c r="C40"/>
      <c r="D40"/>
    </row>
    <row r="41" spans="1:4" s="13" customFormat="1">
      <c r="A41"/>
      <c r="B41"/>
      <c r="C41"/>
      <c r="D41"/>
    </row>
    <row r="42" spans="1:4" s="13" customFormat="1">
      <c r="A42"/>
      <c r="B42"/>
      <c r="C42"/>
      <c r="D42"/>
    </row>
    <row r="43" spans="1:4" s="13" customFormat="1">
      <c r="A43"/>
      <c r="B43"/>
      <c r="C43"/>
      <c r="D43"/>
    </row>
    <row r="44" spans="1:4" s="13" customFormat="1">
      <c r="A44"/>
      <c r="B44"/>
      <c r="C44"/>
      <c r="D44"/>
    </row>
    <row r="45" spans="1:4" s="13" customFormat="1">
      <c r="A45"/>
      <c r="B45"/>
      <c r="C45"/>
      <c r="D45"/>
    </row>
    <row r="46" spans="1:4" s="13" customFormat="1">
      <c r="A46"/>
      <c r="B46"/>
      <c r="C46"/>
      <c r="D46"/>
    </row>
    <row r="47" spans="1:4" s="13" customFormat="1">
      <c r="A47"/>
      <c r="B47"/>
      <c r="C47"/>
      <c r="D47"/>
    </row>
    <row r="48" spans="1:4" s="13" customFormat="1">
      <c r="A48"/>
      <c r="B48"/>
      <c r="C48"/>
      <c r="D48"/>
    </row>
    <row r="49" spans="1:4" s="13" customFormat="1">
      <c r="A49"/>
      <c r="B49"/>
      <c r="C49"/>
      <c r="D49"/>
    </row>
    <row r="50" spans="1:4" s="13" customFormat="1">
      <c r="A50"/>
      <c r="B50"/>
      <c r="C50"/>
      <c r="D50"/>
    </row>
    <row r="51" spans="1:4" s="13" customFormat="1">
      <c r="A51"/>
      <c r="B51"/>
      <c r="C51"/>
      <c r="D51"/>
    </row>
    <row r="52" spans="1:4" s="13" customFormat="1">
      <c r="A52"/>
      <c r="B52"/>
      <c r="C52"/>
      <c r="D52"/>
    </row>
    <row r="53" spans="1:4" s="13" customFormat="1">
      <c r="A53"/>
      <c r="B53"/>
      <c r="C53"/>
      <c r="D53"/>
    </row>
    <row r="54" spans="1:4" s="13" customFormat="1">
      <c r="A54"/>
      <c r="B54"/>
      <c r="C54"/>
      <c r="D54"/>
    </row>
    <row r="55" spans="1:4" s="13" customFormat="1">
      <c r="A55"/>
      <c r="B55"/>
      <c r="C55"/>
      <c r="D55"/>
    </row>
    <row r="56" spans="1:4" s="13" customFormat="1">
      <c r="A56"/>
      <c r="B56"/>
      <c r="C56"/>
      <c r="D56"/>
    </row>
  </sheetData>
  <sheetProtection sheet="1" objects="1" scenarios="1" formatCells="0" formatColumns="0"/>
  <phoneticPr fontId="1"/>
  <pageMargins left="0.7" right="0.7" top="0.75" bottom="0.75" header="0.3" footer="0.3"/>
  <pageSetup paperSize="9" scale="8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2000000}">
          <x14:formula1>
            <xm:f>OFFSET(puldata_Antimicrobial!$E$1,1,0,COUNTA(puldata_Antimicrobial!$E:$E)-1,1)</xm:f>
          </x14:formula1>
          <xm:sqref>C2</xm:sqref>
        </x14:dataValidation>
        <x14:dataValidation type="list" allowBlank="1" showInputMessage="1" xr:uid="{00000000-0002-0000-0600-000000000000}">
          <x14:formula1>
            <xm:f>OFFSET(puldata_Antimicrobial!$G$1,1,0,COUNTA(puldata_Antimicrobial!$G:$G),1)</xm:f>
          </x14:formula1>
          <xm:sqref>B2</xm:sqref>
        </x14:dataValidation>
        <x14:dataValidation type="list" allowBlank="1" showInputMessage="1" showErrorMessage="1" xr:uid="{00000000-0002-0000-0600-000001000000}">
          <x14:formula1>
            <xm:f>puldata_Antimicrobial!$F$2:$F$5</xm:f>
          </x14:formula1>
          <xm:sqref>D2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_puldata_Antimicrobial"/>
  <dimension ref="A1:G262"/>
  <sheetViews>
    <sheetView workbookViewId="0">
      <selection activeCell="A2" sqref="A2"/>
    </sheetView>
  </sheetViews>
  <sheetFormatPr defaultRowHeight="18.75"/>
  <cols>
    <col min="1" max="1" width="16" customWidth="1"/>
    <col min="3" max="3" width="23.75" bestFit="1" customWidth="1"/>
    <col min="4" max="4" width="67" bestFit="1" customWidth="1"/>
    <col min="5" max="5" width="11.625" bestFit="1" customWidth="1"/>
    <col min="6" max="6" width="15" bestFit="1" customWidth="1"/>
  </cols>
  <sheetData>
    <row r="1" spans="1:7">
      <c r="A1" t="s">
        <v>896</v>
      </c>
      <c r="B1" s="3" t="s">
        <v>5</v>
      </c>
      <c r="C1" s="3" t="s">
        <v>6</v>
      </c>
      <c r="D1" t="s">
        <v>9</v>
      </c>
      <c r="E1" t="s">
        <v>198</v>
      </c>
      <c r="F1" t="s">
        <v>198</v>
      </c>
    </row>
    <row r="2" spans="1:7">
      <c r="A2" s="6"/>
      <c r="B2" s="5"/>
      <c r="C2" s="5"/>
      <c r="D2" t="str">
        <f>C2&amp;":"&amp;B2</f>
        <v>:</v>
      </c>
      <c r="F2" t="s">
        <v>199</v>
      </c>
      <c r="G2" t="s">
        <v>1454</v>
      </c>
    </row>
    <row r="3" spans="1:7">
      <c r="A3" s="4"/>
      <c r="B3" s="5"/>
      <c r="C3" s="5"/>
      <c r="D3" t="str">
        <f t="shared" ref="D3" si="0">C3&amp;":"&amp;B3</f>
        <v>:</v>
      </c>
      <c r="F3" t="s">
        <v>200</v>
      </c>
      <c r="G3" t="s">
        <v>1454</v>
      </c>
    </row>
    <row r="4" spans="1:7">
      <c r="A4" s="6"/>
      <c r="B4" s="5"/>
      <c r="C4" s="5"/>
      <c r="F4" t="s">
        <v>345</v>
      </c>
    </row>
    <row r="5" spans="1:7">
      <c r="A5" s="4"/>
      <c r="B5" s="5"/>
      <c r="C5" s="5"/>
      <c r="F5" t="s">
        <v>201</v>
      </c>
    </row>
    <row r="6" spans="1:7">
      <c r="A6" s="4"/>
      <c r="B6" s="5"/>
      <c r="C6" s="5"/>
    </row>
    <row r="7" spans="1:7">
      <c r="A7" s="4"/>
      <c r="B7" s="5"/>
      <c r="C7" s="5"/>
    </row>
    <row r="8" spans="1:7">
      <c r="A8" s="4"/>
      <c r="B8" s="5"/>
      <c r="C8" s="5"/>
    </row>
    <row r="9" spans="1:7">
      <c r="A9" s="4"/>
      <c r="B9" s="5"/>
      <c r="C9" s="5"/>
    </row>
    <row r="10" spans="1:7">
      <c r="A10" s="6"/>
      <c r="B10" s="5"/>
      <c r="C10" s="5"/>
    </row>
    <row r="11" spans="1:7">
      <c r="A11" s="4"/>
      <c r="B11" s="5"/>
      <c r="C11" s="5"/>
    </row>
    <row r="12" spans="1:7">
      <c r="A12" s="6"/>
      <c r="B12" s="5"/>
      <c r="C12" s="5"/>
    </row>
    <row r="13" spans="1:7">
      <c r="A13" s="6"/>
      <c r="B13" s="5"/>
      <c r="C13" s="5"/>
    </row>
    <row r="14" spans="1:7">
      <c r="A14" s="4"/>
      <c r="B14" s="5"/>
      <c r="C14" s="5"/>
    </row>
    <row r="15" spans="1:7">
      <c r="A15" s="4"/>
      <c r="B15" s="5"/>
      <c r="C15" s="5"/>
    </row>
    <row r="16" spans="1:7">
      <c r="A16" s="4"/>
      <c r="B16" s="5"/>
      <c r="C16" s="5"/>
    </row>
    <row r="17" spans="1:3">
      <c r="A17" s="6"/>
      <c r="B17" s="5"/>
      <c r="C17" s="5"/>
    </row>
    <row r="18" spans="1:3">
      <c r="A18" s="6"/>
      <c r="B18" s="5"/>
      <c r="C18" s="5"/>
    </row>
    <row r="19" spans="1:3">
      <c r="A19" s="4"/>
      <c r="B19" s="5"/>
      <c r="C19" s="5"/>
    </row>
    <row r="20" spans="1:3">
      <c r="A20" s="4"/>
      <c r="B20" s="5"/>
      <c r="C20" s="5"/>
    </row>
    <row r="21" spans="1:3">
      <c r="A21" s="6"/>
      <c r="B21" s="5"/>
      <c r="C21" s="5"/>
    </row>
    <row r="22" spans="1:3">
      <c r="A22" s="4"/>
      <c r="B22" s="5"/>
      <c r="C22" s="5"/>
    </row>
    <row r="23" spans="1:3">
      <c r="A23" s="4"/>
      <c r="B23" s="5"/>
      <c r="C23" s="5"/>
    </row>
    <row r="24" spans="1:3">
      <c r="A24" s="4"/>
      <c r="B24" s="5"/>
      <c r="C24" s="5"/>
    </row>
    <row r="25" spans="1:3">
      <c r="A25" s="4"/>
      <c r="B25" s="5"/>
      <c r="C25" s="5"/>
    </row>
    <row r="26" spans="1:3">
      <c r="A26" s="4"/>
      <c r="B26" s="5"/>
      <c r="C26" s="5"/>
    </row>
    <row r="27" spans="1:3">
      <c r="A27" s="4"/>
      <c r="B27" s="5"/>
      <c r="C27" s="5"/>
    </row>
    <row r="28" spans="1:3">
      <c r="A28" s="4"/>
      <c r="B28" s="5"/>
      <c r="C28" s="5"/>
    </row>
    <row r="29" spans="1:3">
      <c r="A29" s="6"/>
      <c r="B29" s="5"/>
      <c r="C29" s="5"/>
    </row>
    <row r="30" spans="1:3">
      <c r="A30" s="6"/>
      <c r="B30" s="5"/>
      <c r="C30" s="5"/>
    </row>
    <row r="31" spans="1:3">
      <c r="A31" s="6"/>
      <c r="B31" s="5"/>
      <c r="C31" s="5"/>
    </row>
    <row r="32" spans="1:3">
      <c r="A32" s="6"/>
      <c r="B32" s="5"/>
      <c r="C32" s="5"/>
    </row>
    <row r="33" spans="1:3">
      <c r="A33" s="6"/>
      <c r="B33" s="5"/>
      <c r="C33" s="5"/>
    </row>
    <row r="34" spans="1:3">
      <c r="A34" s="6"/>
      <c r="B34" s="5"/>
      <c r="C34" s="5"/>
    </row>
    <row r="35" spans="1:3">
      <c r="A35" s="6"/>
      <c r="B35" s="5"/>
      <c r="C35" s="5"/>
    </row>
    <row r="36" spans="1:3">
      <c r="A36" s="6"/>
      <c r="B36" s="5"/>
      <c r="C36" s="5"/>
    </row>
    <row r="37" spans="1:3">
      <c r="A37" s="6"/>
      <c r="B37" s="5"/>
      <c r="C37" s="5"/>
    </row>
    <row r="38" spans="1:3">
      <c r="A38" s="6"/>
      <c r="B38" s="5"/>
      <c r="C38" s="5"/>
    </row>
    <row r="39" spans="1:3">
      <c r="A39" s="6"/>
      <c r="B39" s="5"/>
      <c r="C39" s="5"/>
    </row>
    <row r="40" spans="1:3">
      <c r="A40" s="6"/>
      <c r="B40" s="5"/>
      <c r="C40" s="5"/>
    </row>
    <row r="41" spans="1:3">
      <c r="A41" s="6"/>
      <c r="B41" s="5"/>
      <c r="C41" s="5"/>
    </row>
    <row r="42" spans="1:3">
      <c r="A42" s="6"/>
      <c r="B42" s="5"/>
      <c r="C42" s="5"/>
    </row>
    <row r="43" spans="1:3">
      <c r="A43" s="6"/>
      <c r="B43" s="5"/>
      <c r="C43" s="5"/>
    </row>
    <row r="44" spans="1:3">
      <c r="A44" s="6"/>
      <c r="B44" s="5"/>
      <c r="C44" s="5"/>
    </row>
    <row r="45" spans="1:3">
      <c r="A45" s="6"/>
      <c r="B45" s="5"/>
      <c r="C45" s="5"/>
    </row>
    <row r="46" spans="1:3">
      <c r="A46" s="6"/>
      <c r="B46" s="5"/>
      <c r="C46" s="5"/>
    </row>
    <row r="47" spans="1:3">
      <c r="A47" s="6"/>
      <c r="B47" s="5"/>
      <c r="C47" s="5"/>
    </row>
    <row r="48" spans="1:3">
      <c r="A48" s="6"/>
      <c r="B48" s="5"/>
      <c r="C48" s="5"/>
    </row>
    <row r="49" spans="1:3">
      <c r="A49" s="6"/>
      <c r="B49" s="5"/>
      <c r="C49" s="5"/>
    </row>
    <row r="50" spans="1:3">
      <c r="A50" s="6"/>
      <c r="B50" s="5"/>
      <c r="C50" s="5"/>
    </row>
    <row r="51" spans="1:3">
      <c r="A51" s="6"/>
      <c r="B51" s="5"/>
      <c r="C51" s="5"/>
    </row>
    <row r="52" spans="1:3">
      <c r="A52" s="6"/>
      <c r="B52" s="5"/>
      <c r="C52" s="5"/>
    </row>
    <row r="53" spans="1:3">
      <c r="A53" s="6"/>
      <c r="B53" s="5"/>
      <c r="C53" s="5"/>
    </row>
    <row r="54" spans="1:3">
      <c r="A54" s="6"/>
      <c r="B54" s="5"/>
      <c r="C54" s="5"/>
    </row>
    <row r="55" spans="1:3">
      <c r="A55" s="6"/>
      <c r="B55" s="5"/>
      <c r="C55" s="5"/>
    </row>
    <row r="56" spans="1:3">
      <c r="A56" s="6"/>
      <c r="B56" s="5"/>
      <c r="C56" s="5"/>
    </row>
    <row r="57" spans="1:3">
      <c r="A57" s="6"/>
      <c r="B57" s="5"/>
      <c r="C57" s="5"/>
    </row>
    <row r="58" spans="1:3">
      <c r="A58" s="6"/>
      <c r="B58" s="5"/>
      <c r="C58" s="5"/>
    </row>
    <row r="59" spans="1:3">
      <c r="A59" s="6"/>
      <c r="B59" s="5"/>
      <c r="C59" s="5"/>
    </row>
    <row r="60" spans="1:3">
      <c r="A60" s="6"/>
      <c r="B60" s="5"/>
      <c r="C60" s="5"/>
    </row>
    <row r="61" spans="1:3">
      <c r="A61" s="6"/>
      <c r="B61" s="5"/>
      <c r="C61" s="5"/>
    </row>
    <row r="62" spans="1:3">
      <c r="A62" s="6"/>
      <c r="B62" s="5"/>
      <c r="C62" s="5"/>
    </row>
    <row r="63" spans="1:3">
      <c r="A63" s="6"/>
      <c r="B63" s="5"/>
      <c r="C63" s="5"/>
    </row>
    <row r="64" spans="1:3">
      <c r="A64" s="6"/>
      <c r="B64" s="5"/>
      <c r="C64" s="5"/>
    </row>
    <row r="65" spans="1:3">
      <c r="A65" s="6"/>
      <c r="B65" s="5"/>
      <c r="C65" s="5"/>
    </row>
    <row r="66" spans="1:3">
      <c r="A66" s="6"/>
      <c r="B66" s="5"/>
      <c r="C66" s="5"/>
    </row>
    <row r="67" spans="1:3">
      <c r="A67" s="6"/>
      <c r="B67" s="5"/>
      <c r="C67" s="5"/>
    </row>
    <row r="68" spans="1:3">
      <c r="A68" s="6"/>
      <c r="B68" s="5"/>
      <c r="C68" s="5"/>
    </row>
    <row r="69" spans="1:3">
      <c r="A69" s="6"/>
      <c r="B69" s="5"/>
      <c r="C69" s="5"/>
    </row>
    <row r="70" spans="1:3">
      <c r="A70" s="6"/>
      <c r="B70" s="5"/>
      <c r="C70" s="5"/>
    </row>
    <row r="71" spans="1:3">
      <c r="A71" s="6"/>
      <c r="B71" s="5"/>
      <c r="C71" s="5"/>
    </row>
    <row r="72" spans="1:3">
      <c r="A72" s="6"/>
      <c r="B72" s="5"/>
      <c r="C72" s="5"/>
    </row>
    <row r="73" spans="1:3">
      <c r="A73" s="6"/>
      <c r="B73" s="5"/>
      <c r="C73" s="5"/>
    </row>
    <row r="74" spans="1:3">
      <c r="A74" s="6"/>
      <c r="B74" s="5"/>
      <c r="C74" s="5"/>
    </row>
    <row r="75" spans="1:3">
      <c r="A75" s="6"/>
      <c r="B75" s="5"/>
      <c r="C75" s="5"/>
    </row>
    <row r="76" spans="1:3">
      <c r="A76" s="6"/>
      <c r="B76" s="5"/>
      <c r="C76" s="5"/>
    </row>
    <row r="77" spans="1:3">
      <c r="A77" s="6"/>
      <c r="B77" s="5"/>
      <c r="C77" s="5"/>
    </row>
    <row r="78" spans="1:3">
      <c r="A78" s="6"/>
      <c r="B78" s="5"/>
      <c r="C78" s="5"/>
    </row>
    <row r="79" spans="1:3">
      <c r="A79" s="6"/>
      <c r="B79" s="5"/>
      <c r="C79" s="5"/>
    </row>
    <row r="80" spans="1:3">
      <c r="A80" s="4"/>
      <c r="B80" s="5"/>
      <c r="C80" s="5"/>
    </row>
    <row r="81" spans="1:3">
      <c r="A81" s="4"/>
      <c r="B81" s="5"/>
      <c r="C81" s="5"/>
    </row>
    <row r="82" spans="1:3">
      <c r="A82" s="5"/>
      <c r="B82" s="5"/>
      <c r="C82" s="5"/>
    </row>
    <row r="83" spans="1:3">
      <c r="A83" s="6"/>
      <c r="B83" s="5"/>
      <c r="C83" s="5"/>
    </row>
    <row r="84" spans="1:3">
      <c r="A84" s="6"/>
      <c r="B84" s="5"/>
      <c r="C84" s="5"/>
    </row>
    <row r="85" spans="1:3">
      <c r="A85" s="4"/>
      <c r="B85" s="5"/>
      <c r="C85" s="5"/>
    </row>
    <row r="86" spans="1:3">
      <c r="A86" s="4"/>
      <c r="B86" s="5"/>
      <c r="C86" s="5"/>
    </row>
    <row r="87" spans="1:3">
      <c r="A87" s="2"/>
      <c r="B87" s="5"/>
      <c r="C87" s="5"/>
    </row>
    <row r="88" spans="1:3">
      <c r="A88" s="4"/>
      <c r="B88" s="5"/>
      <c r="C88" s="5"/>
    </row>
    <row r="89" spans="1:3">
      <c r="A89" s="4"/>
      <c r="B89" s="5"/>
      <c r="C89" s="5"/>
    </row>
    <row r="90" spans="1:3">
      <c r="A90" s="4"/>
      <c r="B90" s="5"/>
      <c r="C90" s="5"/>
    </row>
    <row r="91" spans="1:3">
      <c r="A91" s="4"/>
      <c r="B91" s="5"/>
      <c r="C91" s="5"/>
    </row>
    <row r="92" spans="1:3">
      <c r="A92" s="4"/>
      <c r="B92" s="5"/>
      <c r="C92" s="5"/>
    </row>
    <row r="93" spans="1:3">
      <c r="A93" s="4"/>
      <c r="B93" s="5"/>
      <c r="C93" s="5"/>
    </row>
    <row r="94" spans="1:3">
      <c r="A94" s="4"/>
      <c r="B94" s="5"/>
      <c r="C94" s="5"/>
    </row>
    <row r="95" spans="1:3">
      <c r="A95" s="4"/>
      <c r="B95" s="5"/>
      <c r="C95" s="5"/>
    </row>
    <row r="96" spans="1:3">
      <c r="A96" s="4"/>
      <c r="B96" s="5"/>
      <c r="C96" s="5"/>
    </row>
    <row r="97" spans="1:3">
      <c r="A97" s="6"/>
      <c r="B97" s="5"/>
      <c r="C97" s="5"/>
    </row>
    <row r="98" spans="1:3">
      <c r="A98" s="4"/>
      <c r="B98" s="5"/>
      <c r="C98" s="5"/>
    </row>
    <row r="99" spans="1:3">
      <c r="A99" s="4"/>
      <c r="B99" s="5"/>
      <c r="C99" s="5"/>
    </row>
    <row r="100" spans="1:3">
      <c r="A100" s="4"/>
      <c r="B100" s="5"/>
      <c r="C100" s="5"/>
    </row>
    <row r="101" spans="1:3">
      <c r="A101" s="6"/>
      <c r="B101" s="5"/>
      <c r="C101" s="5"/>
    </row>
    <row r="102" spans="1:3">
      <c r="A102" s="4"/>
      <c r="B102" s="5"/>
      <c r="C102" s="5"/>
    </row>
    <row r="103" spans="1:3">
      <c r="A103" s="4"/>
      <c r="B103" s="5"/>
      <c r="C103" s="5"/>
    </row>
    <row r="104" spans="1:3">
      <c r="A104" s="6"/>
      <c r="B104" s="5"/>
      <c r="C104" s="5"/>
    </row>
    <row r="105" spans="1:3">
      <c r="A105" s="4"/>
      <c r="B105" s="5"/>
      <c r="C105" s="5"/>
    </row>
    <row r="106" spans="1:3">
      <c r="A106" s="6"/>
      <c r="B106" s="5"/>
      <c r="C106" s="5"/>
    </row>
    <row r="107" spans="1:3">
      <c r="A107" s="4"/>
      <c r="B107" s="5"/>
      <c r="C107" s="5"/>
    </row>
    <row r="108" spans="1:3">
      <c r="A108" s="6"/>
      <c r="B108" s="5"/>
      <c r="C108" s="5"/>
    </row>
    <row r="109" spans="1:3">
      <c r="A109" s="4"/>
      <c r="B109" s="5"/>
      <c r="C109" s="5"/>
    </row>
    <row r="110" spans="1:3">
      <c r="A110" s="4"/>
      <c r="B110" s="5"/>
      <c r="C110" s="5"/>
    </row>
    <row r="111" spans="1:3">
      <c r="A111" s="6"/>
      <c r="B111" s="5"/>
      <c r="C111" s="5"/>
    </row>
    <row r="112" spans="1:3">
      <c r="A112" s="6"/>
      <c r="B112" s="5"/>
      <c r="C112" s="5"/>
    </row>
    <row r="113" spans="1:3">
      <c r="A113" s="6"/>
      <c r="B113" s="5"/>
      <c r="C113" s="5"/>
    </row>
    <row r="114" spans="1:3">
      <c r="A114" s="4"/>
      <c r="B114" s="5"/>
      <c r="C114" s="5"/>
    </row>
    <row r="115" spans="1:3">
      <c r="A115" s="4"/>
      <c r="B115" s="5"/>
      <c r="C115" s="5"/>
    </row>
    <row r="116" spans="1:3">
      <c r="A116" s="4"/>
      <c r="B116" s="5"/>
      <c r="C116" s="5"/>
    </row>
    <row r="117" spans="1:3">
      <c r="A117" s="4"/>
      <c r="B117" s="5"/>
      <c r="C117" s="5"/>
    </row>
    <row r="118" spans="1:3">
      <c r="A118" s="4"/>
      <c r="B118" s="5"/>
      <c r="C118" s="5"/>
    </row>
    <row r="119" spans="1:3">
      <c r="A119" s="6"/>
      <c r="B119" s="5"/>
      <c r="C119" s="5"/>
    </row>
    <row r="120" spans="1:3">
      <c r="A120" s="6"/>
      <c r="B120" s="5"/>
      <c r="C120" s="5"/>
    </row>
    <row r="121" spans="1:3">
      <c r="A121" s="6"/>
      <c r="B121" s="5"/>
      <c r="C121" s="5"/>
    </row>
    <row r="122" spans="1:3">
      <c r="A122" s="4"/>
      <c r="B122" s="5"/>
      <c r="C122" s="5"/>
    </row>
    <row r="123" spans="1:3">
      <c r="A123" s="6"/>
      <c r="B123" s="5"/>
      <c r="C123" s="5"/>
    </row>
    <row r="124" spans="1:3">
      <c r="A124" s="6"/>
      <c r="B124" s="5"/>
      <c r="C124" s="5"/>
    </row>
    <row r="125" spans="1:3">
      <c r="A125" s="6"/>
      <c r="B125" s="5"/>
      <c r="C125" s="5"/>
    </row>
    <row r="126" spans="1:3">
      <c r="A126" s="6"/>
      <c r="B126" s="5"/>
      <c r="C126" s="5"/>
    </row>
    <row r="127" spans="1:3">
      <c r="A127" s="4"/>
      <c r="B127" s="5"/>
      <c r="C127" s="5"/>
    </row>
    <row r="128" spans="1:3">
      <c r="A128" s="4"/>
      <c r="B128" s="5"/>
      <c r="C128" s="5"/>
    </row>
    <row r="129" spans="1:3">
      <c r="A129" s="47"/>
      <c r="B129" s="5"/>
      <c r="C129" s="5"/>
    </row>
    <row r="130" spans="1:3">
      <c r="A130" s="47"/>
      <c r="B130" s="5"/>
      <c r="C130" s="5"/>
    </row>
    <row r="131" spans="1:3">
      <c r="A131" s="6"/>
      <c r="B131" s="5"/>
      <c r="C131" s="5"/>
    </row>
    <row r="132" spans="1:3">
      <c r="A132" s="6"/>
      <c r="B132" s="5"/>
      <c r="C132" s="5"/>
    </row>
    <row r="133" spans="1:3">
      <c r="A133" s="4"/>
      <c r="B133" s="5"/>
      <c r="C133" s="5"/>
    </row>
    <row r="134" spans="1:3">
      <c r="A134" s="4"/>
      <c r="B134" s="5"/>
      <c r="C134" s="5"/>
    </row>
    <row r="135" spans="1:3">
      <c r="A135" s="4"/>
      <c r="B135" s="5"/>
      <c r="C135" s="5"/>
    </row>
    <row r="136" spans="1:3">
      <c r="A136" s="4"/>
      <c r="B136" s="5"/>
      <c r="C136" s="5"/>
    </row>
    <row r="137" spans="1:3">
      <c r="A137" s="6"/>
      <c r="B137" s="5"/>
      <c r="C137" s="5"/>
    </row>
    <row r="138" spans="1:3">
      <c r="A138" s="6"/>
      <c r="B138" s="5"/>
      <c r="C138" s="5"/>
    </row>
    <row r="139" spans="1:3">
      <c r="A139" s="4"/>
      <c r="B139" s="5"/>
      <c r="C139" s="5"/>
    </row>
    <row r="140" spans="1:3">
      <c r="A140" s="4"/>
      <c r="B140" s="5"/>
      <c r="C140" s="5"/>
    </row>
    <row r="141" spans="1:3">
      <c r="A141" s="6"/>
      <c r="B141" s="5"/>
      <c r="C141" s="5"/>
    </row>
    <row r="142" spans="1:3">
      <c r="A142" s="4"/>
      <c r="B142" s="5"/>
      <c r="C142" s="5"/>
    </row>
    <row r="143" spans="1:3">
      <c r="A143" s="6"/>
      <c r="B143" s="5"/>
      <c r="C143" s="5"/>
    </row>
    <row r="144" spans="1:3">
      <c r="A144" s="4"/>
      <c r="B144" s="5"/>
      <c r="C144" s="5"/>
    </row>
    <row r="145" spans="1:3">
      <c r="A145" s="6"/>
      <c r="B145" s="5"/>
      <c r="C145" s="5"/>
    </row>
    <row r="146" spans="1:3">
      <c r="A146" s="2"/>
      <c r="B146" s="5"/>
      <c r="C146" s="5"/>
    </row>
    <row r="147" spans="1:3">
      <c r="A147" s="4"/>
      <c r="B147" s="5"/>
      <c r="C147" s="5"/>
    </row>
    <row r="148" spans="1:3">
      <c r="A148" s="4"/>
      <c r="B148" s="5"/>
      <c r="C148" s="5"/>
    </row>
    <row r="149" spans="1:3">
      <c r="A149" s="6"/>
      <c r="B149" s="5"/>
      <c r="C149" s="5"/>
    </row>
    <row r="150" spans="1:3">
      <c r="A150" s="6"/>
      <c r="B150" s="5"/>
      <c r="C150" s="5"/>
    </row>
    <row r="151" spans="1:3">
      <c r="A151" s="6"/>
      <c r="B151" s="5"/>
      <c r="C151" s="5"/>
    </row>
    <row r="152" spans="1:3">
      <c r="A152" s="4"/>
      <c r="B152" s="5"/>
      <c r="C152" s="5"/>
    </row>
    <row r="153" spans="1:3">
      <c r="A153" s="4"/>
      <c r="B153" s="5"/>
      <c r="C153" s="5"/>
    </row>
    <row r="154" spans="1:3">
      <c r="A154" s="4"/>
      <c r="B154" s="5"/>
      <c r="C154" s="5"/>
    </row>
    <row r="155" spans="1:3">
      <c r="A155" s="4"/>
      <c r="B155" s="5"/>
      <c r="C155" s="5"/>
    </row>
    <row r="156" spans="1:3">
      <c r="A156" s="6"/>
      <c r="B156" s="5"/>
      <c r="C156" s="5"/>
    </row>
    <row r="157" spans="1:3">
      <c r="A157" s="4"/>
      <c r="B157" s="5"/>
      <c r="C157" s="5"/>
    </row>
    <row r="158" spans="1:3">
      <c r="A158" s="4"/>
      <c r="B158" s="5"/>
      <c r="C158" s="5"/>
    </row>
    <row r="159" spans="1:3">
      <c r="A159" s="4"/>
      <c r="B159" s="5"/>
      <c r="C159" s="5"/>
    </row>
    <row r="160" spans="1:3">
      <c r="A160" s="4"/>
      <c r="B160" s="5"/>
      <c r="C160" s="5"/>
    </row>
    <row r="161" spans="1:3">
      <c r="A161" s="4"/>
      <c r="B161" s="5"/>
      <c r="C161" s="5"/>
    </row>
    <row r="162" spans="1:3">
      <c r="A162" s="4"/>
      <c r="B162" s="5"/>
      <c r="C162" s="5"/>
    </row>
    <row r="163" spans="1:3">
      <c r="A163" s="6"/>
      <c r="B163" s="5"/>
      <c r="C163" s="5"/>
    </row>
    <row r="164" spans="1:3">
      <c r="A164" s="6"/>
      <c r="B164" s="5"/>
      <c r="C164" s="5"/>
    </row>
    <row r="165" spans="1:3">
      <c r="A165" s="4"/>
      <c r="B165" s="5"/>
      <c r="C165" s="5"/>
    </row>
    <row r="166" spans="1:3">
      <c r="A166" s="5"/>
      <c r="B166" s="5"/>
      <c r="C166" s="5"/>
    </row>
    <row r="167" spans="1:3">
      <c r="A167" s="4"/>
      <c r="B167" s="5"/>
      <c r="C167" s="5"/>
    </row>
    <row r="168" spans="1:3">
      <c r="A168" s="6"/>
      <c r="B168" s="5"/>
      <c r="C168" s="5"/>
    </row>
    <row r="169" spans="1:3">
      <c r="A169" s="4"/>
      <c r="B169" s="5"/>
      <c r="C169" s="5"/>
    </row>
    <row r="170" spans="1:3">
      <c r="A170" s="6"/>
      <c r="B170" s="5"/>
      <c r="C170" s="5"/>
    </row>
    <row r="171" spans="1:3">
      <c r="A171" s="5"/>
      <c r="B171" s="5"/>
      <c r="C171" s="5"/>
    </row>
    <row r="172" spans="1:3">
      <c r="A172" s="4"/>
      <c r="B172" s="5"/>
      <c r="C172" s="5"/>
    </row>
    <row r="173" spans="1:3">
      <c r="A173" s="6"/>
      <c r="B173" s="5"/>
      <c r="C173" s="5"/>
    </row>
    <row r="174" spans="1:3">
      <c r="A174" s="4"/>
      <c r="B174" s="5"/>
      <c r="C174" s="5"/>
    </row>
    <row r="175" spans="1:3">
      <c r="A175" s="6"/>
      <c r="B175" s="5"/>
      <c r="C175" s="5"/>
    </row>
    <row r="176" spans="1:3">
      <c r="A176" s="4"/>
      <c r="B176" s="5"/>
      <c r="C176" s="5"/>
    </row>
    <row r="177" spans="1:3">
      <c r="A177" s="4"/>
      <c r="B177" s="5"/>
      <c r="C177" s="5"/>
    </row>
    <row r="178" spans="1:3">
      <c r="A178" s="6"/>
      <c r="B178" s="5"/>
      <c r="C178" s="5"/>
    </row>
    <row r="179" spans="1:3">
      <c r="A179" s="6"/>
      <c r="B179" s="5"/>
      <c r="C179" s="5"/>
    </row>
    <row r="180" spans="1:3">
      <c r="A180" s="4"/>
      <c r="B180" s="5"/>
      <c r="C180" s="5"/>
    </row>
    <row r="181" spans="1:3">
      <c r="A181" s="4"/>
      <c r="B181" s="5"/>
      <c r="C181" s="5"/>
    </row>
    <row r="182" spans="1:3">
      <c r="A182" s="4"/>
      <c r="B182" s="5"/>
      <c r="C182" s="5"/>
    </row>
    <row r="183" spans="1:3">
      <c r="A183" s="6"/>
      <c r="B183" s="5"/>
      <c r="C183" s="5"/>
    </row>
    <row r="184" spans="1:3">
      <c r="A184" s="6"/>
      <c r="B184" s="5"/>
      <c r="C184" s="5"/>
    </row>
    <row r="185" spans="1:3">
      <c r="A185" s="6"/>
      <c r="B185" s="5"/>
      <c r="C185" s="5"/>
    </row>
    <row r="186" spans="1:3">
      <c r="A186" s="4"/>
      <c r="B186" s="5"/>
      <c r="C186" s="5"/>
    </row>
    <row r="187" spans="1:3">
      <c r="A187" s="4"/>
      <c r="B187" s="5"/>
      <c r="C187" s="5"/>
    </row>
    <row r="188" spans="1:3">
      <c r="A188" s="4"/>
      <c r="B188" s="5"/>
      <c r="C188" s="5"/>
    </row>
    <row r="189" spans="1:3">
      <c r="A189" s="4"/>
      <c r="B189" s="5"/>
      <c r="C189" s="5"/>
    </row>
    <row r="190" spans="1:3">
      <c r="A190" s="4"/>
      <c r="B190" s="5"/>
      <c r="C190" s="5"/>
    </row>
    <row r="191" spans="1:3">
      <c r="A191" s="5"/>
      <c r="B191" s="5"/>
      <c r="C191" s="5"/>
    </row>
    <row r="192" spans="1:3">
      <c r="A192" s="4"/>
      <c r="B192" s="5"/>
      <c r="C192" s="5"/>
    </row>
    <row r="193" spans="1:3">
      <c r="A193" s="5"/>
      <c r="B193" s="5"/>
      <c r="C193" s="5"/>
    </row>
    <row r="194" spans="1:3">
      <c r="A194" s="4"/>
      <c r="B194" s="5"/>
      <c r="C194" s="5"/>
    </row>
    <row r="195" spans="1:3">
      <c r="A195" s="4"/>
      <c r="B195" s="5"/>
      <c r="C195" s="5"/>
    </row>
    <row r="196" spans="1:3">
      <c r="A196" s="4"/>
      <c r="B196" s="5"/>
      <c r="C196" s="5"/>
    </row>
    <row r="197" spans="1:3">
      <c r="A197" s="4"/>
      <c r="B197" s="5"/>
      <c r="C197" s="5"/>
    </row>
    <row r="198" spans="1:3">
      <c r="A198" s="6"/>
      <c r="B198" s="5"/>
      <c r="C198" s="5"/>
    </row>
    <row r="199" spans="1:3">
      <c r="A199" s="4"/>
      <c r="B199" s="5"/>
      <c r="C199" s="5"/>
    </row>
    <row r="200" spans="1:3">
      <c r="A200" s="4"/>
      <c r="B200" s="5"/>
      <c r="C200" s="5"/>
    </row>
    <row r="201" spans="1:3">
      <c r="A201" s="4"/>
      <c r="B201" s="5"/>
      <c r="C201" s="5"/>
    </row>
    <row r="202" spans="1:3">
      <c r="A202" s="4"/>
      <c r="B202" s="5"/>
      <c r="C202" s="5"/>
    </row>
    <row r="203" spans="1:3">
      <c r="A203" s="6"/>
      <c r="B203" s="5"/>
      <c r="C203" s="5"/>
    </row>
    <row r="204" spans="1:3">
      <c r="A204" s="4"/>
      <c r="B204" s="5"/>
      <c r="C204" s="5"/>
    </row>
    <row r="205" spans="1:3">
      <c r="A205" s="4"/>
      <c r="B205" s="5"/>
      <c r="C205" s="5"/>
    </row>
    <row r="206" spans="1:3">
      <c r="A206" s="4"/>
      <c r="B206" s="5"/>
      <c r="C206" s="5"/>
    </row>
    <row r="207" spans="1:3">
      <c r="A207" s="6"/>
      <c r="B207" s="5"/>
      <c r="C207" s="5"/>
    </row>
    <row r="208" spans="1:3">
      <c r="A208" s="6"/>
      <c r="B208" s="5"/>
      <c r="C208" s="5"/>
    </row>
    <row r="209" spans="1:3">
      <c r="A209" s="6"/>
      <c r="B209" s="5"/>
      <c r="C209" s="5"/>
    </row>
    <row r="210" spans="1:3">
      <c r="A210" s="4"/>
      <c r="B210" s="5"/>
      <c r="C210" s="5"/>
    </row>
    <row r="211" spans="1:3">
      <c r="A211" s="4"/>
      <c r="B211" s="5"/>
      <c r="C211" s="5"/>
    </row>
    <row r="212" spans="1:3">
      <c r="A212" s="4"/>
      <c r="B212" s="5"/>
      <c r="C212" s="5"/>
    </row>
    <row r="213" spans="1:3">
      <c r="A213" s="6"/>
      <c r="B213" s="5"/>
      <c r="C213" s="5"/>
    </row>
    <row r="214" spans="1:3">
      <c r="A214" s="6"/>
      <c r="B214" s="5"/>
      <c r="C214" s="5"/>
    </row>
    <row r="215" spans="1:3">
      <c r="A215" s="6"/>
      <c r="B215" s="5"/>
      <c r="C215" s="5"/>
    </row>
    <row r="216" spans="1:3">
      <c r="A216" s="6"/>
      <c r="B216" s="5"/>
      <c r="C216" s="5"/>
    </row>
    <row r="217" spans="1:3">
      <c r="A217" s="6"/>
      <c r="B217" s="5"/>
      <c r="C217" s="5"/>
    </row>
    <row r="218" spans="1:3">
      <c r="A218" s="4"/>
      <c r="B218" s="5"/>
      <c r="C218" s="5"/>
    </row>
    <row r="219" spans="1:3">
      <c r="A219" s="6"/>
      <c r="B219" s="5"/>
      <c r="C219" s="5"/>
    </row>
    <row r="220" spans="1:3">
      <c r="A220" s="4"/>
      <c r="B220" s="5"/>
      <c r="C220" s="5"/>
    </row>
    <row r="221" spans="1:3">
      <c r="A221" s="4"/>
      <c r="B221" s="5"/>
      <c r="C221" s="5"/>
    </row>
    <row r="222" spans="1:3">
      <c r="A222" s="4"/>
      <c r="B222" s="5"/>
      <c r="C222" s="5"/>
    </row>
    <row r="223" spans="1:3">
      <c r="A223" s="4"/>
      <c r="B223" s="5"/>
      <c r="C223" s="5"/>
    </row>
    <row r="224" spans="1:3">
      <c r="A224" s="4"/>
      <c r="B224" s="5"/>
      <c r="C224" s="5"/>
    </row>
    <row r="225" spans="1:3">
      <c r="A225" s="4"/>
      <c r="B225" s="5"/>
      <c r="C225" s="5"/>
    </row>
    <row r="226" spans="1:3">
      <c r="A226" s="4"/>
      <c r="B226" s="5"/>
      <c r="C226" s="5"/>
    </row>
    <row r="227" spans="1:3">
      <c r="A227" s="4"/>
      <c r="B227" s="5"/>
      <c r="C227" s="5"/>
    </row>
    <row r="228" spans="1:3">
      <c r="A228" s="4"/>
      <c r="B228" s="5"/>
      <c r="C228" s="5"/>
    </row>
    <row r="229" spans="1:3">
      <c r="A229" s="4"/>
      <c r="B229" s="5"/>
      <c r="C229" s="5"/>
    </row>
    <row r="230" spans="1:3">
      <c r="A230" s="4"/>
      <c r="B230" s="5"/>
      <c r="C230" s="5"/>
    </row>
    <row r="231" spans="1:3">
      <c r="A231" s="6"/>
      <c r="B231" s="5"/>
      <c r="C231" s="5"/>
    </row>
    <row r="232" spans="1:3">
      <c r="A232" s="4"/>
      <c r="B232" s="5"/>
      <c r="C232" s="5"/>
    </row>
    <row r="233" spans="1:3">
      <c r="A233" s="6"/>
      <c r="B233" s="5"/>
      <c r="C233" s="5"/>
    </row>
    <row r="234" spans="1:3">
      <c r="A234" s="6"/>
      <c r="B234" s="5"/>
      <c r="C234" s="5"/>
    </row>
    <row r="235" spans="1:3">
      <c r="A235" s="4"/>
      <c r="B235" s="5"/>
      <c r="C235" s="5"/>
    </row>
    <row r="236" spans="1:3">
      <c r="A236" s="4"/>
      <c r="B236" s="5"/>
      <c r="C236" s="5"/>
    </row>
    <row r="237" spans="1:3">
      <c r="A237" s="4"/>
      <c r="B237" s="5"/>
      <c r="C237" s="5"/>
    </row>
    <row r="238" spans="1:3">
      <c r="A238" s="6"/>
      <c r="B238" s="5"/>
      <c r="C238" s="5"/>
    </row>
    <row r="239" spans="1:3">
      <c r="A239" s="4"/>
      <c r="B239" s="5"/>
      <c r="C239" s="5"/>
    </row>
    <row r="240" spans="1:3">
      <c r="A240" s="4"/>
      <c r="B240" s="5"/>
      <c r="C240" s="5"/>
    </row>
    <row r="241" spans="1:3">
      <c r="A241" s="4"/>
      <c r="B241" s="5"/>
      <c r="C241" s="5"/>
    </row>
    <row r="242" spans="1:3">
      <c r="A242" s="6"/>
      <c r="B242" s="5"/>
      <c r="C242" s="5"/>
    </row>
    <row r="243" spans="1:3">
      <c r="A243" s="4"/>
      <c r="B243" s="5"/>
      <c r="C243" s="5"/>
    </row>
    <row r="244" spans="1:3">
      <c r="A244" s="4"/>
      <c r="B244" s="5"/>
      <c r="C244" s="5"/>
    </row>
    <row r="245" spans="1:3">
      <c r="A245" s="6"/>
      <c r="B245" s="5"/>
      <c r="C245" s="5"/>
    </row>
    <row r="246" spans="1:3">
      <c r="A246" s="4"/>
      <c r="B246" s="5"/>
      <c r="C246" s="5"/>
    </row>
    <row r="247" spans="1:3">
      <c r="A247" s="4"/>
      <c r="B247" s="5"/>
      <c r="C247" s="5"/>
    </row>
    <row r="248" spans="1:3">
      <c r="A248" s="4"/>
      <c r="B248" s="5"/>
      <c r="C248" s="5"/>
    </row>
    <row r="249" spans="1:3">
      <c r="A249" s="4"/>
      <c r="B249" s="5"/>
      <c r="C249" s="5"/>
    </row>
    <row r="250" spans="1:3">
      <c r="B250" s="5"/>
      <c r="C250" s="5"/>
    </row>
    <row r="251" spans="1:3">
      <c r="B251" s="5"/>
      <c r="C251" s="5"/>
    </row>
    <row r="252" spans="1:3">
      <c r="B252" s="5"/>
      <c r="C252" s="5"/>
    </row>
    <row r="253" spans="1:3">
      <c r="B253" s="5"/>
      <c r="C253" s="5"/>
    </row>
    <row r="254" spans="1:3">
      <c r="B254" s="5"/>
      <c r="C254" s="5"/>
    </row>
    <row r="255" spans="1:3">
      <c r="B255" s="5"/>
      <c r="C255" s="5"/>
    </row>
    <row r="256" spans="1:3">
      <c r="B256" s="5"/>
      <c r="C256" s="5"/>
    </row>
    <row r="257" spans="2:3">
      <c r="B257" s="5"/>
      <c r="C257" s="5"/>
    </row>
    <row r="258" spans="2:3">
      <c r="B258" s="5"/>
      <c r="C258" s="5"/>
    </row>
    <row r="259" spans="2:3">
      <c r="B259" s="5"/>
      <c r="C259" s="5"/>
    </row>
    <row r="260" spans="2:3">
      <c r="B260" s="5"/>
      <c r="C260" s="5"/>
    </row>
    <row r="261" spans="2:3">
      <c r="B261" s="5"/>
      <c r="C261" s="5"/>
    </row>
    <row r="262" spans="2:3">
      <c r="B262" s="5"/>
      <c r="C262" s="5"/>
    </row>
  </sheetData>
  <sortState xmlns:xlrd2="http://schemas.microsoft.com/office/spreadsheetml/2017/richdata2" ref="A2:C249">
    <sortCondition ref="C2:C249"/>
    <sortCondition ref="B2:B249"/>
  </sortState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Mapping_Department"/>
  <dimension ref="A1:B2"/>
  <sheetViews>
    <sheetView workbookViewId="0"/>
  </sheetViews>
  <sheetFormatPr defaultRowHeight="18.75"/>
  <cols>
    <col min="1" max="1" width="16.5" bestFit="1" customWidth="1"/>
    <col min="2" max="2" width="34.625" customWidth="1"/>
  </cols>
  <sheetData>
    <row r="1" spans="1:2" s="13" customFormat="1" ht="13.5">
      <c r="A1" s="26" t="s">
        <v>10</v>
      </c>
      <c r="B1" s="23" t="s">
        <v>4</v>
      </c>
    </row>
    <row r="2" spans="1:2" s="13" customFormat="1" ht="13.5">
      <c r="A2" s="43"/>
      <c r="B2" s="27"/>
    </row>
  </sheetData>
  <sheetProtection sheet="1" objects="1" scenarios="1" formatCells="0" formatColumns="0"/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800-000000000000}">
          <x14:formula1>
            <xm:f>OFFSET(puldata_Department!$E$1,1,0,COUNTA(puldata_Department!$E:$E),1)</xm:f>
          </x14:formula1>
          <xm:sqref>B2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_puldata_Department"/>
  <dimension ref="A1:E68"/>
  <sheetViews>
    <sheetView zoomScale="85" zoomScaleNormal="85" workbookViewId="0">
      <selection activeCell="C10" sqref="C10"/>
    </sheetView>
  </sheetViews>
  <sheetFormatPr defaultRowHeight="18.75"/>
  <cols>
    <col min="3" max="3" width="36.5" bestFit="1" customWidth="1"/>
    <col min="4" max="4" width="42.75" bestFit="1" customWidth="1"/>
  </cols>
  <sheetData>
    <row r="1" spans="1:5">
      <c r="A1" t="s">
        <v>8</v>
      </c>
      <c r="B1" s="3" t="s">
        <v>5</v>
      </c>
      <c r="C1" t="s">
        <v>78</v>
      </c>
      <c r="D1" t="s">
        <v>9</v>
      </c>
    </row>
    <row r="2" spans="1:5">
      <c r="A2" s="8"/>
      <c r="B2" s="9">
        <v>111</v>
      </c>
      <c r="C2" s="10" t="s">
        <v>22</v>
      </c>
      <c r="D2" t="str">
        <f>C2&amp;":"&amp;B2</f>
        <v>Allergology:111</v>
      </c>
      <c r="E2" t="s">
        <v>282</v>
      </c>
    </row>
    <row r="3" spans="1:5">
      <c r="A3" s="8"/>
      <c r="B3" s="9">
        <v>109</v>
      </c>
      <c r="C3" s="10" t="s">
        <v>20</v>
      </c>
      <c r="D3" t="str">
        <f t="shared" ref="D3:D66" si="0">C3&amp;":"&amp;B3</f>
        <v>Allergy and Connective Tissue Disorders:109</v>
      </c>
      <c r="E3" t="s">
        <v>283</v>
      </c>
    </row>
    <row r="4" spans="1:5">
      <c r="A4" s="11"/>
      <c r="B4" s="9">
        <v>534</v>
      </c>
      <c r="C4" s="10" t="s">
        <v>76</v>
      </c>
      <c r="D4" t="str">
        <f t="shared" si="0"/>
        <v>Anesthesiology:534</v>
      </c>
      <c r="E4" t="s">
        <v>277</v>
      </c>
    </row>
    <row r="5" spans="1:5">
      <c r="A5" s="11"/>
      <c r="B5" s="9">
        <v>505</v>
      </c>
      <c r="C5" s="10" t="s">
        <v>48</v>
      </c>
      <c r="D5" t="str">
        <f t="shared" si="0"/>
        <v>Bronchoesophagology:505</v>
      </c>
      <c r="E5" t="s">
        <v>226</v>
      </c>
    </row>
    <row r="6" spans="1:5">
      <c r="A6" s="8"/>
      <c r="B6" s="9">
        <v>101</v>
      </c>
      <c r="C6" s="10" t="s">
        <v>12</v>
      </c>
      <c r="D6" t="str">
        <f t="shared" si="0"/>
        <v>Cardiology:101</v>
      </c>
      <c r="E6" t="s">
        <v>278</v>
      </c>
    </row>
    <row r="7" spans="1:5">
      <c r="A7" s="8"/>
      <c r="B7" s="9">
        <v>204</v>
      </c>
      <c r="C7" s="10" t="s">
        <v>32</v>
      </c>
      <c r="D7" t="str">
        <f t="shared" si="0"/>
        <v>Cardiovascular Surgery:204</v>
      </c>
      <c r="E7" t="s">
        <v>279</v>
      </c>
    </row>
    <row r="8" spans="1:5">
      <c r="A8" s="8"/>
      <c r="B8" s="9">
        <v>110</v>
      </c>
      <c r="C8" s="10" t="s">
        <v>21</v>
      </c>
      <c r="D8" t="str">
        <f t="shared" si="0"/>
        <v>Connective Tissue Disorders:110</v>
      </c>
      <c r="E8" t="s">
        <v>284</v>
      </c>
    </row>
    <row r="9" spans="1:5">
      <c r="A9" s="11"/>
      <c r="B9" s="9">
        <v>525</v>
      </c>
      <c r="C9" s="10" t="s">
        <v>67</v>
      </c>
      <c r="D9" t="str">
        <f t="shared" si="0"/>
        <v>Coronary Care Unit (CCU):525</v>
      </c>
      <c r="E9" t="s">
        <v>285</v>
      </c>
    </row>
    <row r="10" spans="1:5">
      <c r="A10" s="11"/>
      <c r="B10" s="9">
        <v>502</v>
      </c>
      <c r="C10" s="10" t="s">
        <v>45</v>
      </c>
      <c r="D10" t="str">
        <f t="shared" si="0"/>
        <v>Cosmetic Surgery:502</v>
      </c>
      <c r="E10" t="s">
        <v>286</v>
      </c>
    </row>
    <row r="11" spans="1:5">
      <c r="A11" s="11"/>
      <c r="B11" s="9">
        <v>517</v>
      </c>
      <c r="C11" s="10" t="s">
        <v>60</v>
      </c>
      <c r="D11" t="str">
        <f t="shared" si="0"/>
        <v>Dental Surgery:517</v>
      </c>
      <c r="E11" t="s">
        <v>287</v>
      </c>
    </row>
    <row r="12" spans="1:5">
      <c r="A12" s="11"/>
      <c r="B12" s="9">
        <v>516</v>
      </c>
      <c r="C12" s="10" t="s">
        <v>59</v>
      </c>
      <c r="D12" t="str">
        <f t="shared" si="0"/>
        <v>Dentistry:516</v>
      </c>
      <c r="E12" t="s">
        <v>288</v>
      </c>
    </row>
    <row r="13" spans="1:5">
      <c r="A13" s="11"/>
      <c r="B13" s="9">
        <v>506</v>
      </c>
      <c r="C13" s="10" t="s">
        <v>49</v>
      </c>
      <c r="D13" t="str">
        <f t="shared" si="0"/>
        <v>Dermatology:506</v>
      </c>
      <c r="E13" t="s">
        <v>289</v>
      </c>
    </row>
    <row r="14" spans="1:5">
      <c r="A14" s="11"/>
      <c r="B14" s="9">
        <v>508</v>
      </c>
      <c r="C14" s="10" t="s">
        <v>51</v>
      </c>
      <c r="D14" t="str">
        <f t="shared" si="0"/>
        <v>Dermatology and Urology:508</v>
      </c>
      <c r="E14" t="s">
        <v>290</v>
      </c>
    </row>
    <row r="15" spans="1:5">
      <c r="A15" s="8"/>
      <c r="B15" s="9">
        <v>108</v>
      </c>
      <c r="C15" s="10" t="s">
        <v>19</v>
      </c>
      <c r="D15" t="str">
        <f t="shared" si="0"/>
        <v>Diabetes:108</v>
      </c>
      <c r="E15" t="s">
        <v>291</v>
      </c>
    </row>
    <row r="16" spans="1:5">
      <c r="A16" s="11"/>
      <c r="B16" s="9">
        <v>522</v>
      </c>
      <c r="C16" s="10" t="s">
        <v>64</v>
      </c>
      <c r="D16" t="str">
        <f t="shared" si="0"/>
        <v>Emergency:522</v>
      </c>
      <c r="E16" t="s">
        <v>292</v>
      </c>
    </row>
    <row r="17" spans="1:5">
      <c r="A17" s="11"/>
      <c r="B17" s="9">
        <v>523</v>
      </c>
      <c r="C17" s="10" t="s">
        <v>65</v>
      </c>
      <c r="D17" t="str">
        <f t="shared" si="0"/>
        <v>Emergency and ICU:523</v>
      </c>
      <c r="E17" t="s">
        <v>293</v>
      </c>
    </row>
    <row r="18" spans="1:5">
      <c r="A18" s="8"/>
      <c r="B18" s="9">
        <v>205</v>
      </c>
      <c r="C18" s="10" t="s">
        <v>33</v>
      </c>
      <c r="D18" t="str">
        <f t="shared" si="0"/>
        <v>Endocrine Surgery:205</v>
      </c>
      <c r="E18" t="s">
        <v>294</v>
      </c>
    </row>
    <row r="19" spans="1:5">
      <c r="A19" s="8"/>
      <c r="B19" s="9">
        <v>106</v>
      </c>
      <c r="C19" s="10" t="s">
        <v>17</v>
      </c>
      <c r="D19" t="str">
        <f t="shared" si="0"/>
        <v>Endocrinology and Metabolism:106</v>
      </c>
      <c r="E19" t="s">
        <v>295</v>
      </c>
    </row>
    <row r="20" spans="1:5">
      <c r="A20" s="11"/>
      <c r="B20" s="9">
        <v>528</v>
      </c>
      <c r="C20" s="10" t="s">
        <v>70</v>
      </c>
      <c r="D20" t="str">
        <f t="shared" si="0"/>
        <v>Endoscopy:528</v>
      </c>
      <c r="E20" t="s">
        <v>296</v>
      </c>
    </row>
    <row r="21" spans="1:5">
      <c r="A21" s="8"/>
      <c r="B21" s="9">
        <v>105</v>
      </c>
      <c r="C21" s="10" t="s">
        <v>16</v>
      </c>
      <c r="D21" t="str">
        <f t="shared" si="0"/>
        <v>Gastroenterology:105</v>
      </c>
      <c r="E21" t="s">
        <v>297</v>
      </c>
    </row>
    <row r="22" spans="1:5">
      <c r="A22" s="8"/>
      <c r="B22" s="9">
        <v>104</v>
      </c>
      <c r="C22" s="10" t="s">
        <v>15</v>
      </c>
      <c r="D22" t="str">
        <f t="shared" si="0"/>
        <v>Gastroenterology and hepatology:104</v>
      </c>
      <c r="E22" t="s">
        <v>298</v>
      </c>
    </row>
    <row r="23" spans="1:5">
      <c r="A23" s="8"/>
      <c r="B23" s="9">
        <v>201</v>
      </c>
      <c r="C23" s="10" t="s">
        <v>29</v>
      </c>
      <c r="D23" t="str">
        <f t="shared" si="0"/>
        <v>Gastrointestinal Surgery:201</v>
      </c>
      <c r="E23" t="s">
        <v>299</v>
      </c>
    </row>
    <row r="24" spans="1:5">
      <c r="A24" s="11"/>
      <c r="B24" s="9">
        <v>520</v>
      </c>
      <c r="C24" s="10" t="s">
        <v>63</v>
      </c>
      <c r="D24" t="str">
        <f t="shared" si="0"/>
        <v>General Medicine:520</v>
      </c>
      <c r="E24" t="s">
        <v>300</v>
      </c>
    </row>
    <row r="25" spans="1:5">
      <c r="A25" s="8"/>
      <c r="B25" s="9">
        <v>115</v>
      </c>
      <c r="C25" s="10" t="s">
        <v>26</v>
      </c>
      <c r="D25" t="str">
        <f t="shared" si="0"/>
        <v>Geriatrics:115</v>
      </c>
      <c r="E25" t="s">
        <v>301</v>
      </c>
    </row>
    <row r="26" spans="1:5">
      <c r="A26" s="11"/>
      <c r="B26" s="9">
        <v>303</v>
      </c>
      <c r="C26" s="10" t="s">
        <v>40</v>
      </c>
      <c r="D26" t="str">
        <f t="shared" si="0"/>
        <v>Gynecology:303</v>
      </c>
      <c r="E26" t="s">
        <v>302</v>
      </c>
    </row>
    <row r="27" spans="1:5">
      <c r="A27" s="8"/>
      <c r="B27" s="9">
        <v>113</v>
      </c>
      <c r="C27" s="10" t="s">
        <v>24</v>
      </c>
      <c r="D27" t="str">
        <f t="shared" si="0"/>
        <v>Hematology:113</v>
      </c>
      <c r="E27" t="s">
        <v>303</v>
      </c>
    </row>
    <row r="28" spans="1:5">
      <c r="A28" s="11"/>
      <c r="B28" s="9">
        <v>529</v>
      </c>
      <c r="C28" s="10" t="s">
        <v>71</v>
      </c>
      <c r="D28" t="str">
        <f t="shared" si="0"/>
        <v>Hemodialysis:529</v>
      </c>
      <c r="E28" t="s">
        <v>304</v>
      </c>
    </row>
    <row r="29" spans="1:5">
      <c r="A29" s="8"/>
      <c r="B29" s="9">
        <v>203</v>
      </c>
      <c r="C29" s="10" t="s">
        <v>31</v>
      </c>
      <c r="D29" t="str">
        <f t="shared" si="0"/>
        <v>Hepatobiliary Pancreatic Surgery:203</v>
      </c>
      <c r="E29" t="s">
        <v>305</v>
      </c>
    </row>
    <row r="30" spans="1:5">
      <c r="A30" s="8"/>
      <c r="B30" s="9">
        <v>114</v>
      </c>
      <c r="C30" s="10" t="s">
        <v>25</v>
      </c>
      <c r="D30" t="str">
        <f t="shared" si="0"/>
        <v>Infectious Diseases:114</v>
      </c>
      <c r="E30" t="s">
        <v>306</v>
      </c>
    </row>
    <row r="31" spans="1:5">
      <c r="A31" s="11"/>
      <c r="B31" s="9">
        <v>524</v>
      </c>
      <c r="C31" s="10" t="s">
        <v>66</v>
      </c>
      <c r="D31" t="str">
        <f t="shared" si="0"/>
        <v>Intensive Care Unit (ICU):524</v>
      </c>
      <c r="E31" t="s">
        <v>307</v>
      </c>
    </row>
    <row r="32" spans="1:5">
      <c r="A32" s="8"/>
      <c r="B32" s="9">
        <v>100</v>
      </c>
      <c r="C32" s="10" t="s">
        <v>11</v>
      </c>
      <c r="D32" t="str">
        <f t="shared" si="0"/>
        <v>Internal Medicine:100</v>
      </c>
      <c r="E32" t="s">
        <v>308</v>
      </c>
    </row>
    <row r="33" spans="1:5">
      <c r="A33" s="11"/>
      <c r="B33" s="9">
        <v>526</v>
      </c>
      <c r="C33" s="10" t="s">
        <v>68</v>
      </c>
      <c r="D33" t="str">
        <f t="shared" si="0"/>
        <v>Neonatal Intensive Care Unit (NICU):526</v>
      </c>
      <c r="E33" t="s">
        <v>309</v>
      </c>
    </row>
    <row r="34" spans="1:5">
      <c r="A34" s="11"/>
      <c r="B34" s="9">
        <v>402</v>
      </c>
      <c r="C34" s="10" t="s">
        <v>42</v>
      </c>
      <c r="D34" t="str">
        <f t="shared" si="0"/>
        <v>Neonatology:402</v>
      </c>
      <c r="E34" t="s">
        <v>310</v>
      </c>
    </row>
    <row r="35" spans="1:5">
      <c r="A35" s="8"/>
      <c r="B35" s="9">
        <v>107</v>
      </c>
      <c r="C35" s="10" t="s">
        <v>18</v>
      </c>
      <c r="D35" t="str">
        <f t="shared" si="0"/>
        <v>Nephrology:107</v>
      </c>
      <c r="E35" t="s">
        <v>311</v>
      </c>
    </row>
    <row r="36" spans="1:5">
      <c r="A36" s="8"/>
      <c r="B36" s="9">
        <v>102</v>
      </c>
      <c r="C36" s="10" t="s">
        <v>13</v>
      </c>
      <c r="D36" t="str">
        <f t="shared" si="0"/>
        <v>Neurology:102</v>
      </c>
      <c r="E36" t="s">
        <v>312</v>
      </c>
    </row>
    <row r="37" spans="1:5">
      <c r="A37" s="11"/>
      <c r="B37" s="9">
        <v>510</v>
      </c>
      <c r="C37" s="10" t="s">
        <v>53</v>
      </c>
      <c r="D37" t="str">
        <f t="shared" si="0"/>
        <v>Neuropsychiatry:510</v>
      </c>
      <c r="E37" t="s">
        <v>313</v>
      </c>
    </row>
    <row r="38" spans="1:5">
      <c r="A38" s="11"/>
      <c r="B38" s="9">
        <v>513</v>
      </c>
      <c r="C38" s="10" t="s">
        <v>56</v>
      </c>
      <c r="D38" t="str">
        <f t="shared" si="0"/>
        <v>Neurosurgery:513</v>
      </c>
      <c r="E38" t="s">
        <v>314</v>
      </c>
    </row>
    <row r="39" spans="1:5">
      <c r="A39" s="11"/>
      <c r="B39" s="9">
        <v>302</v>
      </c>
      <c r="C39" s="10" t="s">
        <v>39</v>
      </c>
      <c r="D39" t="str">
        <f t="shared" si="0"/>
        <v>Obstetrics:302</v>
      </c>
      <c r="E39" t="s">
        <v>315</v>
      </c>
    </row>
    <row r="40" spans="1:5">
      <c r="A40" s="11"/>
      <c r="B40" s="9">
        <v>301</v>
      </c>
      <c r="C40" s="10" t="s">
        <v>38</v>
      </c>
      <c r="D40" t="str">
        <f t="shared" si="0"/>
        <v>Obstetrics and Gynecology:301</v>
      </c>
      <c r="E40" t="s">
        <v>316</v>
      </c>
    </row>
    <row r="41" spans="1:5">
      <c r="A41" s="11"/>
      <c r="B41" s="9">
        <v>503</v>
      </c>
      <c r="C41" s="10" t="s">
        <v>46</v>
      </c>
      <c r="D41" t="str">
        <f t="shared" si="0"/>
        <v>Ophthalmology:503</v>
      </c>
      <c r="E41" t="s">
        <v>317</v>
      </c>
    </row>
    <row r="42" spans="1:5">
      <c r="A42" s="11"/>
      <c r="B42" s="9">
        <v>515</v>
      </c>
      <c r="C42" s="10" t="s">
        <v>58</v>
      </c>
      <c r="D42" t="str">
        <f t="shared" si="0"/>
        <v>Oral and Maxillofacial Surgery:515</v>
      </c>
      <c r="E42" t="s">
        <v>318</v>
      </c>
    </row>
    <row r="43" spans="1:5">
      <c r="A43" s="11"/>
      <c r="B43" s="9">
        <v>519</v>
      </c>
      <c r="C43" s="10" t="s">
        <v>62</v>
      </c>
      <c r="D43" t="str">
        <f t="shared" si="0"/>
        <v>Orthodontics:519</v>
      </c>
      <c r="E43" t="s">
        <v>319</v>
      </c>
    </row>
    <row r="44" spans="1:5">
      <c r="A44" s="11"/>
      <c r="B44" s="9">
        <v>501</v>
      </c>
      <c r="C44" s="10" t="s">
        <v>44</v>
      </c>
      <c r="D44" t="str">
        <f t="shared" si="0"/>
        <v>Orthopaedic Surgery:501</v>
      </c>
      <c r="E44" t="s">
        <v>320</v>
      </c>
    </row>
    <row r="45" spans="1:5">
      <c r="A45" s="11"/>
      <c r="B45" s="9">
        <v>599</v>
      </c>
      <c r="C45" s="10" t="s">
        <v>77</v>
      </c>
      <c r="D45" t="str">
        <f t="shared" si="0"/>
        <v>Others:599</v>
      </c>
      <c r="E45" t="s">
        <v>321</v>
      </c>
    </row>
    <row r="46" spans="1:5">
      <c r="A46" s="11"/>
      <c r="B46" s="9">
        <v>504</v>
      </c>
      <c r="C46" s="10" t="s">
        <v>47</v>
      </c>
      <c r="D46" t="str">
        <f t="shared" si="0"/>
        <v>Otorhinolaryngology:504</v>
      </c>
      <c r="E46" t="s">
        <v>322</v>
      </c>
    </row>
    <row r="47" spans="1:5">
      <c r="A47" s="8"/>
      <c r="B47" s="9">
        <v>208</v>
      </c>
      <c r="C47" s="10" t="s">
        <v>36</v>
      </c>
      <c r="D47" t="str">
        <f t="shared" si="0"/>
        <v>Pediatric Cardio Surgery:208</v>
      </c>
      <c r="E47" t="s">
        <v>323</v>
      </c>
    </row>
    <row r="48" spans="1:5">
      <c r="A48" s="11"/>
      <c r="B48" s="9">
        <v>518</v>
      </c>
      <c r="C48" s="10" t="s">
        <v>61</v>
      </c>
      <c r="D48" t="str">
        <f t="shared" si="0"/>
        <v>Pediatric Dentistry:518</v>
      </c>
      <c r="E48" t="s">
        <v>324</v>
      </c>
    </row>
    <row r="49" spans="1:5">
      <c r="A49" s="8"/>
      <c r="B49" s="9">
        <v>209</v>
      </c>
      <c r="C49" s="10" t="s">
        <v>37</v>
      </c>
      <c r="D49" t="str">
        <f t="shared" si="0"/>
        <v>Pediatric Gastrointestinal Surgery:209</v>
      </c>
      <c r="E49" t="s">
        <v>325</v>
      </c>
    </row>
    <row r="50" spans="1:5">
      <c r="A50" s="8"/>
      <c r="B50" s="9">
        <v>207</v>
      </c>
      <c r="C50" s="10" t="s">
        <v>35</v>
      </c>
      <c r="D50" t="str">
        <f t="shared" si="0"/>
        <v>Pediatric Surgery:207</v>
      </c>
      <c r="E50" t="s">
        <v>326</v>
      </c>
    </row>
    <row r="51" spans="1:5">
      <c r="A51" s="11"/>
      <c r="B51" s="9">
        <v>401</v>
      </c>
      <c r="C51" s="10" t="s">
        <v>41</v>
      </c>
      <c r="D51" t="str">
        <f t="shared" si="0"/>
        <v>Pediatrics:401</v>
      </c>
      <c r="E51" t="s">
        <v>327</v>
      </c>
    </row>
    <row r="52" spans="1:5">
      <c r="A52" s="11"/>
      <c r="B52" s="9">
        <v>527</v>
      </c>
      <c r="C52" s="10" t="s">
        <v>69</v>
      </c>
      <c r="D52" t="str">
        <f t="shared" si="0"/>
        <v>Perinatal center:527</v>
      </c>
      <c r="E52" t="s">
        <v>328</v>
      </c>
    </row>
    <row r="53" spans="1:5">
      <c r="A53" s="11"/>
      <c r="B53" s="9">
        <v>532</v>
      </c>
      <c r="C53" s="10" t="s">
        <v>74</v>
      </c>
      <c r="D53" t="str">
        <f t="shared" si="0"/>
        <v>Physiotherapy:532</v>
      </c>
      <c r="E53" t="s">
        <v>329</v>
      </c>
    </row>
    <row r="54" spans="1:5">
      <c r="A54" s="11"/>
      <c r="B54" s="9">
        <v>531</v>
      </c>
      <c r="C54" s="10" t="s">
        <v>73</v>
      </c>
      <c r="D54" t="str">
        <f t="shared" si="0"/>
        <v>Physiotherapy and Rehabilitation:531</v>
      </c>
      <c r="E54" t="s">
        <v>330</v>
      </c>
    </row>
    <row r="55" spans="1:5">
      <c r="A55" s="11"/>
      <c r="B55" s="9">
        <v>514</v>
      </c>
      <c r="C55" s="10" t="s">
        <v>57</v>
      </c>
      <c r="D55" t="str">
        <f t="shared" si="0"/>
        <v>Plastic Surgery:514</v>
      </c>
      <c r="E55" t="s">
        <v>331</v>
      </c>
    </row>
    <row r="56" spans="1:5">
      <c r="A56" s="8"/>
      <c r="B56" s="9">
        <v>202</v>
      </c>
      <c r="C56" s="10" t="s">
        <v>30</v>
      </c>
      <c r="D56" t="str">
        <f t="shared" si="0"/>
        <v>Proctology:202</v>
      </c>
      <c r="E56" t="s">
        <v>332</v>
      </c>
    </row>
    <row r="57" spans="1:5">
      <c r="A57" s="11"/>
      <c r="B57" s="9">
        <v>511</v>
      </c>
      <c r="C57" s="10" t="s">
        <v>54</v>
      </c>
      <c r="D57" t="str">
        <f t="shared" si="0"/>
        <v>Psychiatry:511</v>
      </c>
      <c r="E57" t="s">
        <v>333</v>
      </c>
    </row>
    <row r="58" spans="1:5">
      <c r="A58" s="8"/>
      <c r="B58" s="9">
        <v>116</v>
      </c>
      <c r="C58" s="10" t="s">
        <v>27</v>
      </c>
      <c r="D58" t="str">
        <f t="shared" si="0"/>
        <v>Psychosomatic medicine:116</v>
      </c>
      <c r="E58" t="s">
        <v>334</v>
      </c>
    </row>
    <row r="59" spans="1:5">
      <c r="A59" s="11"/>
      <c r="B59" s="9">
        <v>512</v>
      </c>
      <c r="C59" s="10" t="s">
        <v>55</v>
      </c>
      <c r="D59" t="str">
        <f t="shared" si="0"/>
        <v>Radiology:512</v>
      </c>
      <c r="E59" t="s">
        <v>335</v>
      </c>
    </row>
    <row r="60" spans="1:5">
      <c r="A60" s="11"/>
      <c r="B60" s="9">
        <v>533</v>
      </c>
      <c r="C60" s="10" t="s">
        <v>75</v>
      </c>
      <c r="D60" t="str">
        <f t="shared" si="0"/>
        <v>Rehabilitation:533</v>
      </c>
      <c r="E60" t="s">
        <v>336</v>
      </c>
    </row>
    <row r="61" spans="1:5">
      <c r="A61" s="8"/>
      <c r="B61" s="9">
        <v>103</v>
      </c>
      <c r="C61" s="10" t="s">
        <v>14</v>
      </c>
      <c r="D61" t="str">
        <f t="shared" si="0"/>
        <v>Respiratory Medicine:103</v>
      </c>
      <c r="E61" t="s">
        <v>337</v>
      </c>
    </row>
    <row r="62" spans="1:5">
      <c r="A62" s="8"/>
      <c r="B62" s="9">
        <v>112</v>
      </c>
      <c r="C62" s="10" t="s">
        <v>23</v>
      </c>
      <c r="D62" t="str">
        <f t="shared" si="0"/>
        <v>Rheumatology:112</v>
      </c>
      <c r="E62" t="s">
        <v>338</v>
      </c>
    </row>
    <row r="63" spans="1:5">
      <c r="A63" s="8"/>
      <c r="B63" s="9">
        <v>521</v>
      </c>
      <c r="C63" s="10" t="s">
        <v>28</v>
      </c>
      <c r="D63" t="str">
        <f t="shared" si="0"/>
        <v>Surgery:521</v>
      </c>
      <c r="E63" t="s">
        <v>339</v>
      </c>
    </row>
    <row r="64" spans="1:5">
      <c r="A64" s="11"/>
      <c r="B64" s="9">
        <v>200</v>
      </c>
      <c r="C64" s="10" t="s">
        <v>28</v>
      </c>
      <c r="D64" t="str">
        <f t="shared" si="0"/>
        <v>Surgery:200</v>
      </c>
      <c r="E64" t="s">
        <v>340</v>
      </c>
    </row>
    <row r="65" spans="1:5">
      <c r="A65" s="8"/>
      <c r="B65" s="9">
        <v>206</v>
      </c>
      <c r="C65" s="10" t="s">
        <v>34</v>
      </c>
      <c r="D65" t="str">
        <f t="shared" si="0"/>
        <v>Thoracic Surgery:206</v>
      </c>
      <c r="E65" t="s">
        <v>341</v>
      </c>
    </row>
    <row r="66" spans="1:5">
      <c r="A66" s="11"/>
      <c r="B66" s="9">
        <v>530</v>
      </c>
      <c r="C66" s="10" t="s">
        <v>72</v>
      </c>
      <c r="D66" t="str">
        <f t="shared" si="0"/>
        <v>Transplantation:530</v>
      </c>
      <c r="E66" t="s">
        <v>342</v>
      </c>
    </row>
    <row r="67" spans="1:5">
      <c r="A67" s="11"/>
      <c r="B67" s="9">
        <v>507</v>
      </c>
      <c r="C67" s="10" t="s">
        <v>50</v>
      </c>
      <c r="D67" t="str">
        <f t="shared" ref="D67:D68" si="1">C67&amp;":"&amp;B67</f>
        <v>Urology:507</v>
      </c>
      <c r="E67" t="s">
        <v>343</v>
      </c>
    </row>
    <row r="68" spans="1:5">
      <c r="A68" s="11"/>
      <c r="B68" s="9">
        <v>509</v>
      </c>
      <c r="C68" s="10" t="s">
        <v>52</v>
      </c>
      <c r="D68" t="str">
        <f t="shared" si="1"/>
        <v>Venereology:509</v>
      </c>
      <c r="E68" t="s">
        <v>344</v>
      </c>
    </row>
  </sheetData>
  <sortState xmlns:xlrd2="http://schemas.microsoft.com/office/spreadsheetml/2017/richdata2" ref="A2:C68">
    <sortCondition ref="C2:C68"/>
    <sortCondition ref="B2:B68"/>
  </sortState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t_Mapping_Specimen"/>
  <dimension ref="A1:B2"/>
  <sheetViews>
    <sheetView workbookViewId="0"/>
  </sheetViews>
  <sheetFormatPr defaultRowHeight="18.75"/>
  <cols>
    <col min="1" max="1" width="25.625" customWidth="1"/>
    <col min="2" max="2" width="35.875" customWidth="1"/>
  </cols>
  <sheetData>
    <row r="1" spans="1:2" s="13" customFormat="1" ht="13.5">
      <c r="A1" s="26" t="s">
        <v>79</v>
      </c>
      <c r="B1" s="26" t="s">
        <v>80</v>
      </c>
    </row>
    <row r="2" spans="1:2" s="13" customFormat="1" ht="13.5">
      <c r="A2" s="44"/>
      <c r="B2" s="28"/>
    </row>
  </sheetData>
  <sheetProtection sheet="1" objects="1" scenarios="1" formatCells="0" formatColumns="0"/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A00-000000000000}">
          <x14:formula1>
            <xm:f>OFFSET(puldata_Speciem!$E$1,1,0,COUNTA(puldata_Speciem!$E:$E),1)</xm:f>
          </x14:formula1>
          <xm:sqref>B2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_puldata_Specimen"/>
  <dimension ref="A1:E51"/>
  <sheetViews>
    <sheetView topLeftCell="A40" workbookViewId="0"/>
  </sheetViews>
  <sheetFormatPr defaultRowHeight="18.75"/>
  <cols>
    <col min="3" max="3" width="45.75" bestFit="1" customWidth="1"/>
    <col min="4" max="4" width="53.625" bestFit="1" customWidth="1"/>
  </cols>
  <sheetData>
    <row r="1" spans="1:5">
      <c r="A1" t="s">
        <v>127</v>
      </c>
      <c r="B1" s="7" t="s">
        <v>5</v>
      </c>
      <c r="C1" s="7" t="s">
        <v>79</v>
      </c>
      <c r="D1" t="s">
        <v>9</v>
      </c>
    </row>
    <row r="2" spans="1:5">
      <c r="A2" s="8" t="s">
        <v>7</v>
      </c>
      <c r="B2" s="9">
        <v>527</v>
      </c>
      <c r="C2" s="10" t="s">
        <v>120</v>
      </c>
      <c r="D2" t="str">
        <f>C2&amp;":"&amp;B2</f>
        <v>Abdominal tube drainage:527</v>
      </c>
      <c r="E2" t="s">
        <v>227</v>
      </c>
    </row>
    <row r="3" spans="1:5">
      <c r="A3" s="8" t="s">
        <v>7</v>
      </c>
      <c r="B3" s="9">
        <v>528</v>
      </c>
      <c r="C3" s="10" t="s">
        <v>121</v>
      </c>
      <c r="D3" t="str">
        <f t="shared" ref="D3:D51" si="0">C3&amp;":"&amp;B3</f>
        <v>Abdominal tube tip:528</v>
      </c>
      <c r="E3" t="s">
        <v>228</v>
      </c>
    </row>
    <row r="4" spans="1:5">
      <c r="A4" s="8" t="s">
        <v>7</v>
      </c>
      <c r="B4" s="9">
        <v>505</v>
      </c>
      <c r="C4" s="10" t="s">
        <v>111</v>
      </c>
      <c r="D4" t="str">
        <f t="shared" si="0"/>
        <v>Amniotic fluid:505</v>
      </c>
      <c r="E4" t="s">
        <v>229</v>
      </c>
    </row>
    <row r="5" spans="1:5">
      <c r="A5" s="8" t="s">
        <v>102</v>
      </c>
      <c r="B5" s="9">
        <v>402</v>
      </c>
      <c r="C5" s="10" t="s">
        <v>104</v>
      </c>
      <c r="D5" t="str">
        <f t="shared" si="0"/>
        <v>Arterial blood:402</v>
      </c>
      <c r="E5" t="s">
        <v>230</v>
      </c>
    </row>
    <row r="6" spans="1:5">
      <c r="A6" s="8" t="s">
        <v>102</v>
      </c>
      <c r="B6" s="9">
        <v>405</v>
      </c>
      <c r="C6" s="10" t="s">
        <v>888</v>
      </c>
      <c r="D6" t="str">
        <f t="shared" si="0"/>
        <v>Ascites:405</v>
      </c>
      <c r="E6" t="s">
        <v>231</v>
      </c>
    </row>
    <row r="7" spans="1:5">
      <c r="A7" s="8" t="s">
        <v>96</v>
      </c>
      <c r="B7" s="9">
        <v>303</v>
      </c>
      <c r="C7" s="10" t="s">
        <v>99</v>
      </c>
      <c r="D7" t="str">
        <f t="shared" si="0"/>
        <v>Bile:303</v>
      </c>
      <c r="E7" t="s">
        <v>232</v>
      </c>
    </row>
    <row r="8" spans="1:5">
      <c r="A8" s="8" t="s">
        <v>102</v>
      </c>
      <c r="B8" s="9">
        <v>407</v>
      </c>
      <c r="C8" s="10" t="s">
        <v>105</v>
      </c>
      <c r="D8" t="str">
        <f t="shared" si="0"/>
        <v>Bone marrow aspirate:407</v>
      </c>
      <c r="E8" t="s">
        <v>233</v>
      </c>
    </row>
    <row r="9" spans="1:5">
      <c r="A9" s="8" t="s">
        <v>81</v>
      </c>
      <c r="B9" s="9">
        <v>103</v>
      </c>
      <c r="C9" s="10" t="s">
        <v>84</v>
      </c>
      <c r="D9" t="str">
        <f t="shared" si="0"/>
        <v>Bronchoalveolar lavage:103</v>
      </c>
      <c r="E9" t="s">
        <v>234</v>
      </c>
    </row>
    <row r="10" spans="1:5">
      <c r="A10" s="8" t="s">
        <v>7</v>
      </c>
      <c r="B10" s="9">
        <v>523</v>
      </c>
      <c r="C10" s="10" t="s">
        <v>116</v>
      </c>
      <c r="D10" t="str">
        <f t="shared" si="0"/>
        <v>Catheter insertion site:523</v>
      </c>
      <c r="E10" t="s">
        <v>235</v>
      </c>
    </row>
    <row r="11" spans="1:5">
      <c r="A11" s="8" t="s">
        <v>90</v>
      </c>
      <c r="B11" s="9">
        <v>206</v>
      </c>
      <c r="C11" s="10" t="s">
        <v>94</v>
      </c>
      <c r="D11" t="str">
        <f t="shared" si="0"/>
        <v>Catheterized urine:206</v>
      </c>
      <c r="E11" t="s">
        <v>236</v>
      </c>
    </row>
    <row r="12" spans="1:5">
      <c r="A12" s="8" t="s">
        <v>102</v>
      </c>
      <c r="B12" s="9">
        <v>403</v>
      </c>
      <c r="C12" s="10" t="s">
        <v>889</v>
      </c>
      <c r="D12" t="str">
        <f t="shared" si="0"/>
        <v>Cerebrospinal fluid:403</v>
      </c>
      <c r="E12" t="s">
        <v>237</v>
      </c>
    </row>
    <row r="13" spans="1:5">
      <c r="A13" s="8" t="s">
        <v>7</v>
      </c>
      <c r="B13" s="9">
        <v>525</v>
      </c>
      <c r="C13" s="10" t="s">
        <v>118</v>
      </c>
      <c r="D13" t="str">
        <f t="shared" si="0"/>
        <v>Chest tube drainage:525</v>
      </c>
      <c r="E13" t="s">
        <v>238</v>
      </c>
    </row>
    <row r="14" spans="1:5">
      <c r="A14" s="8" t="s">
        <v>7</v>
      </c>
      <c r="B14" s="9">
        <v>526</v>
      </c>
      <c r="C14" s="10" t="s">
        <v>119</v>
      </c>
      <c r="D14" t="str">
        <f t="shared" si="0"/>
        <v>Chest tube tip:526</v>
      </c>
      <c r="E14" t="s">
        <v>239</v>
      </c>
    </row>
    <row r="15" spans="1:5">
      <c r="A15" s="8" t="s">
        <v>7</v>
      </c>
      <c r="B15" s="9">
        <v>521</v>
      </c>
      <c r="C15" s="10" t="s">
        <v>890</v>
      </c>
      <c r="D15" t="str">
        <f t="shared" si="0"/>
        <v>Continuous Ambulatory Peritoneal Dialysis drainage:521</v>
      </c>
      <c r="E15" t="s">
        <v>240</v>
      </c>
    </row>
    <row r="16" spans="1:5">
      <c r="A16" s="8" t="s">
        <v>7</v>
      </c>
      <c r="B16" s="9">
        <v>504</v>
      </c>
      <c r="C16" s="10" t="s">
        <v>110</v>
      </c>
      <c r="D16" t="str">
        <f t="shared" si="0"/>
        <v>Decubitus:504</v>
      </c>
      <c r="E16" t="s">
        <v>241</v>
      </c>
    </row>
    <row r="17" spans="1:5">
      <c r="A17" s="8" t="s">
        <v>7</v>
      </c>
      <c r="B17" s="9">
        <v>529</v>
      </c>
      <c r="C17" s="10" t="s">
        <v>122</v>
      </c>
      <c r="D17" t="str">
        <f t="shared" si="0"/>
        <v>Drain insertion site:529</v>
      </c>
      <c r="E17" t="s">
        <v>242</v>
      </c>
    </row>
    <row r="18" spans="1:5">
      <c r="A18" s="8" t="s">
        <v>7</v>
      </c>
      <c r="B18" s="9">
        <v>501</v>
      </c>
      <c r="C18" s="10" t="s">
        <v>107</v>
      </c>
      <c r="D18" t="str">
        <f t="shared" si="0"/>
        <v>Ear discharge:501</v>
      </c>
      <c r="E18" t="s">
        <v>243</v>
      </c>
    </row>
    <row r="19" spans="1:5">
      <c r="A19" s="8" t="s">
        <v>81</v>
      </c>
      <c r="B19" s="9">
        <v>102</v>
      </c>
      <c r="C19" s="10" t="s">
        <v>83</v>
      </c>
      <c r="D19" t="str">
        <f t="shared" si="0"/>
        <v>Endotracheal aspirate:102</v>
      </c>
      <c r="E19" t="s">
        <v>244</v>
      </c>
    </row>
    <row r="20" spans="1:5">
      <c r="A20" s="8" t="s">
        <v>7</v>
      </c>
      <c r="B20" s="9">
        <v>502</v>
      </c>
      <c r="C20" s="10" t="s">
        <v>108</v>
      </c>
      <c r="D20" t="str">
        <f t="shared" si="0"/>
        <v>Eye discharge:502</v>
      </c>
      <c r="E20" t="s">
        <v>245</v>
      </c>
    </row>
    <row r="21" spans="1:5">
      <c r="A21" s="8" t="s">
        <v>96</v>
      </c>
      <c r="B21" s="9">
        <v>301</v>
      </c>
      <c r="C21" s="10" t="s">
        <v>97</v>
      </c>
      <c r="D21" t="str">
        <f t="shared" si="0"/>
        <v>Feces:301</v>
      </c>
      <c r="E21" t="s">
        <v>246</v>
      </c>
    </row>
    <row r="22" spans="1:5">
      <c r="A22" s="8" t="s">
        <v>96</v>
      </c>
      <c r="B22" s="9">
        <v>302</v>
      </c>
      <c r="C22" s="10" t="s">
        <v>98</v>
      </c>
      <c r="D22" t="str">
        <f t="shared" si="0"/>
        <v>Gastric/Duodenal aspirate:302</v>
      </c>
      <c r="E22" t="s">
        <v>247</v>
      </c>
    </row>
    <row r="23" spans="1:5">
      <c r="A23" s="8" t="s">
        <v>96</v>
      </c>
      <c r="B23" s="9">
        <v>304</v>
      </c>
      <c r="C23" s="10" t="s">
        <v>100</v>
      </c>
      <c r="D23" t="str">
        <f t="shared" si="0"/>
        <v>Gastrointestinal biopsy:304</v>
      </c>
      <c r="E23" t="s">
        <v>248</v>
      </c>
    </row>
    <row r="24" spans="1:5">
      <c r="A24" s="8" t="s">
        <v>102</v>
      </c>
      <c r="B24" s="9">
        <v>406</v>
      </c>
      <c r="C24" s="10" t="s">
        <v>891</v>
      </c>
      <c r="D24" t="str">
        <f t="shared" si="0"/>
        <v>Joint fluid:406</v>
      </c>
      <c r="E24" t="s">
        <v>249</v>
      </c>
    </row>
    <row r="25" spans="1:5">
      <c r="A25" s="8" t="s">
        <v>81</v>
      </c>
      <c r="B25" s="9">
        <v>107</v>
      </c>
      <c r="C25" s="10" t="s">
        <v>88</v>
      </c>
      <c r="D25" t="str">
        <f t="shared" si="0"/>
        <v>Lung biopsy:107</v>
      </c>
      <c r="E25" t="s">
        <v>250</v>
      </c>
    </row>
    <row r="26" spans="1:5">
      <c r="A26" s="8" t="s">
        <v>7</v>
      </c>
      <c r="B26" s="9">
        <v>541</v>
      </c>
      <c r="C26" s="10" t="s">
        <v>124</v>
      </c>
      <c r="D26" t="str">
        <f t="shared" si="0"/>
        <v>Lymph node biopsy:541</v>
      </c>
      <c r="E26" t="s">
        <v>251</v>
      </c>
    </row>
    <row r="27" spans="1:5">
      <c r="A27" s="8" t="s">
        <v>81</v>
      </c>
      <c r="B27" s="9">
        <v>105</v>
      </c>
      <c r="C27" s="10" t="s">
        <v>86</v>
      </c>
      <c r="D27" t="str">
        <f t="shared" si="0"/>
        <v>Nasal:105</v>
      </c>
      <c r="E27" t="s">
        <v>252</v>
      </c>
    </row>
    <row r="28" spans="1:5">
      <c r="A28" s="8" t="s">
        <v>7</v>
      </c>
      <c r="B28" s="9">
        <v>511</v>
      </c>
      <c r="C28" s="10" t="s">
        <v>112</v>
      </c>
      <c r="D28" t="str">
        <f t="shared" si="0"/>
        <v>Open pus:511</v>
      </c>
      <c r="E28" t="s">
        <v>253</v>
      </c>
    </row>
    <row r="29" spans="1:5">
      <c r="A29" s="8" t="s">
        <v>81</v>
      </c>
      <c r="B29" s="9">
        <v>106</v>
      </c>
      <c r="C29" s="10" t="s">
        <v>87</v>
      </c>
      <c r="D29" t="str">
        <f t="shared" si="0"/>
        <v>Oral:106</v>
      </c>
      <c r="E29" t="s">
        <v>254</v>
      </c>
    </row>
    <row r="30" spans="1:5">
      <c r="A30" s="8" t="s">
        <v>96</v>
      </c>
      <c r="B30" s="9">
        <v>309</v>
      </c>
      <c r="C30" s="10" t="s">
        <v>101</v>
      </c>
      <c r="D30" t="str">
        <f t="shared" si="0"/>
        <v>Other (Gastrointestinal):309</v>
      </c>
      <c r="E30" t="s">
        <v>255</v>
      </c>
    </row>
    <row r="31" spans="1:5">
      <c r="A31" s="8" t="s">
        <v>102</v>
      </c>
      <c r="B31" s="9">
        <v>409</v>
      </c>
      <c r="C31" s="10" t="s">
        <v>106</v>
      </c>
      <c r="D31" t="str">
        <f t="shared" si="0"/>
        <v>Other (Puncture fluid):409</v>
      </c>
      <c r="E31" t="s">
        <v>256</v>
      </c>
    </row>
    <row r="32" spans="1:5">
      <c r="A32" s="8" t="s">
        <v>81</v>
      </c>
      <c r="B32" s="9">
        <v>209</v>
      </c>
      <c r="C32" s="10" t="s">
        <v>95</v>
      </c>
      <c r="D32" t="str">
        <f t="shared" si="0"/>
        <v>Other (Urinary/Genital):209</v>
      </c>
      <c r="E32" t="s">
        <v>257</v>
      </c>
    </row>
    <row r="33" spans="1:5">
      <c r="A33" s="8" t="s">
        <v>90</v>
      </c>
      <c r="B33" s="9">
        <v>542</v>
      </c>
      <c r="C33" s="10" t="s">
        <v>125</v>
      </c>
      <c r="D33" t="str">
        <f t="shared" si="0"/>
        <v>Other biopsy/operation materials:542</v>
      </c>
      <c r="E33" t="s">
        <v>258</v>
      </c>
    </row>
    <row r="34" spans="1:5">
      <c r="A34" s="8" t="s">
        <v>7</v>
      </c>
      <c r="B34" s="9">
        <v>524</v>
      </c>
      <c r="C34" s="10" t="s">
        <v>117</v>
      </c>
      <c r="D34" t="str">
        <f t="shared" si="0"/>
        <v>Other catheter specimens:524</v>
      </c>
      <c r="E34" t="s">
        <v>259</v>
      </c>
    </row>
    <row r="35" spans="1:5">
      <c r="A35" s="8" t="s">
        <v>7</v>
      </c>
      <c r="B35" s="9">
        <v>530</v>
      </c>
      <c r="C35" s="10" t="s">
        <v>123</v>
      </c>
      <c r="D35" t="str">
        <f t="shared" si="0"/>
        <v>Other drain specimens:530</v>
      </c>
      <c r="E35" t="s">
        <v>260</v>
      </c>
    </row>
    <row r="36" spans="1:5">
      <c r="A36" s="8" t="s">
        <v>7</v>
      </c>
      <c r="B36" s="9">
        <v>999</v>
      </c>
      <c r="C36" s="10" t="s">
        <v>126</v>
      </c>
      <c r="D36" t="str">
        <f t="shared" si="0"/>
        <v>Other source:999</v>
      </c>
      <c r="E36" t="s">
        <v>261</v>
      </c>
    </row>
    <row r="37" spans="1:5">
      <c r="A37" s="8" t="s">
        <v>7</v>
      </c>
      <c r="B37" s="9">
        <v>109</v>
      </c>
      <c r="C37" s="10" t="s">
        <v>89</v>
      </c>
      <c r="D37" t="str">
        <f t="shared" si="0"/>
        <v>Other （Respiratory):109</v>
      </c>
      <c r="E37" t="s">
        <v>262</v>
      </c>
    </row>
    <row r="38" spans="1:5">
      <c r="A38" s="8" t="s">
        <v>102</v>
      </c>
      <c r="B38" s="9">
        <v>408</v>
      </c>
      <c r="C38" s="10" t="s">
        <v>892</v>
      </c>
      <c r="D38" t="str">
        <f t="shared" si="0"/>
        <v>Pericardial effusion:408</v>
      </c>
      <c r="E38" t="s">
        <v>263</v>
      </c>
    </row>
    <row r="39" spans="1:5">
      <c r="A39" s="8" t="s">
        <v>102</v>
      </c>
      <c r="B39" s="9">
        <v>404</v>
      </c>
      <c r="C39" s="10" t="s">
        <v>893</v>
      </c>
      <c r="D39" t="str">
        <f t="shared" si="0"/>
        <v>Pleural effusion:404</v>
      </c>
      <c r="E39" t="s">
        <v>264</v>
      </c>
    </row>
    <row r="40" spans="1:5">
      <c r="A40" s="8" t="s">
        <v>7</v>
      </c>
      <c r="B40" s="9">
        <v>503</v>
      </c>
      <c r="C40" s="10" t="s">
        <v>109</v>
      </c>
      <c r="D40" t="str">
        <f t="shared" si="0"/>
        <v>Skin:503</v>
      </c>
      <c r="E40" t="s">
        <v>265</v>
      </c>
    </row>
    <row r="41" spans="1:5">
      <c r="A41" s="8" t="s">
        <v>81</v>
      </c>
      <c r="B41" s="9">
        <v>101</v>
      </c>
      <c r="C41" s="10" t="s">
        <v>82</v>
      </c>
      <c r="D41" t="str">
        <f t="shared" si="0"/>
        <v>Sputum:101</v>
      </c>
      <c r="E41" t="s">
        <v>266</v>
      </c>
    </row>
    <row r="42" spans="1:5">
      <c r="A42" s="8" t="s">
        <v>81</v>
      </c>
      <c r="B42" s="9">
        <v>104</v>
      </c>
      <c r="C42" s="10" t="s">
        <v>85</v>
      </c>
      <c r="D42" t="str">
        <f t="shared" si="0"/>
        <v>Throat:104</v>
      </c>
      <c r="E42" t="s">
        <v>267</v>
      </c>
    </row>
    <row r="43" spans="1:5">
      <c r="A43" s="8" t="s">
        <v>7</v>
      </c>
      <c r="B43" s="9">
        <v>522</v>
      </c>
      <c r="C43" s="10" t="s">
        <v>115</v>
      </c>
      <c r="D43" t="str">
        <f t="shared" si="0"/>
        <v>Tip of central venous catheter :522</v>
      </c>
      <c r="E43" t="s">
        <v>268</v>
      </c>
    </row>
    <row r="44" spans="1:5">
      <c r="A44" s="8" t="s">
        <v>7</v>
      </c>
      <c r="B44" s="9">
        <v>512</v>
      </c>
      <c r="C44" s="10" t="s">
        <v>113</v>
      </c>
      <c r="D44" t="str">
        <f t="shared" si="0"/>
        <v>Trapped pus:512</v>
      </c>
      <c r="E44" t="s">
        <v>269</v>
      </c>
    </row>
    <row r="45" spans="1:5">
      <c r="A45" s="8" t="s">
        <v>90</v>
      </c>
      <c r="B45" s="9">
        <v>204</v>
      </c>
      <c r="C45" s="10" t="s">
        <v>92</v>
      </c>
      <c r="D45" t="str">
        <f t="shared" si="0"/>
        <v>Urethral discharge:204</v>
      </c>
      <c r="E45" t="s">
        <v>270</v>
      </c>
    </row>
    <row r="46" spans="1:5">
      <c r="A46" s="8" t="s">
        <v>90</v>
      </c>
      <c r="B46" s="9">
        <v>201</v>
      </c>
      <c r="C46" s="10" t="s">
        <v>91</v>
      </c>
      <c r="D46" t="str">
        <f t="shared" si="0"/>
        <v>Urine:201</v>
      </c>
      <c r="E46" t="s">
        <v>271</v>
      </c>
    </row>
    <row r="47" spans="1:5">
      <c r="A47" s="8" t="s">
        <v>90</v>
      </c>
      <c r="B47" s="9">
        <v>202</v>
      </c>
      <c r="C47" s="10" t="s">
        <v>894</v>
      </c>
      <c r="D47" t="str">
        <f t="shared" si="0"/>
        <v>Urine collected by catheter:202</v>
      </c>
      <c r="E47" t="s">
        <v>272</v>
      </c>
    </row>
    <row r="48" spans="1:5">
      <c r="A48" s="8" t="s">
        <v>90</v>
      </c>
      <c r="B48" s="9">
        <v>203</v>
      </c>
      <c r="C48" s="10" t="s">
        <v>895</v>
      </c>
      <c r="D48" t="str">
        <f t="shared" si="0"/>
        <v>Urine obtained from indwelling catheter:203</v>
      </c>
      <c r="E48" t="s">
        <v>273</v>
      </c>
    </row>
    <row r="49" spans="1:5">
      <c r="A49" s="8" t="s">
        <v>90</v>
      </c>
      <c r="B49" s="9">
        <v>205</v>
      </c>
      <c r="C49" s="10" t="s">
        <v>93</v>
      </c>
      <c r="D49" t="str">
        <f t="shared" si="0"/>
        <v>Vaginal discharge:205</v>
      </c>
      <c r="E49" t="s">
        <v>274</v>
      </c>
    </row>
    <row r="50" spans="1:5">
      <c r="A50" s="8" t="s">
        <v>102</v>
      </c>
      <c r="B50" s="9">
        <v>401</v>
      </c>
      <c r="C50" s="10" t="s">
        <v>103</v>
      </c>
      <c r="D50" t="str">
        <f t="shared" si="0"/>
        <v>Venous blood:401</v>
      </c>
      <c r="E50" t="s">
        <v>275</v>
      </c>
    </row>
    <row r="51" spans="1:5">
      <c r="A51" s="8" t="s">
        <v>7</v>
      </c>
      <c r="B51" s="9">
        <v>513</v>
      </c>
      <c r="C51" s="10" t="s">
        <v>114</v>
      </c>
      <c r="D51" t="str">
        <f t="shared" si="0"/>
        <v>Wound:513</v>
      </c>
      <c r="E51" t="s">
        <v>276</v>
      </c>
    </row>
  </sheetData>
  <sortState xmlns:xlrd2="http://schemas.microsoft.com/office/spreadsheetml/2017/richdata2" ref="A2:C51">
    <sortCondition ref="C2:C51"/>
    <sortCondition ref="B2:B51"/>
  </sortState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t_Mapping_Susceptibility">
    <pageSetUpPr fitToPage="1"/>
  </sheetPr>
  <dimension ref="A1:F32"/>
  <sheetViews>
    <sheetView zoomScale="70" zoomScaleNormal="70" workbookViewId="0"/>
  </sheetViews>
  <sheetFormatPr defaultColWidth="9" defaultRowHeight="13.5"/>
  <cols>
    <col min="1" max="1" width="6.875" style="30" bestFit="1" customWidth="1"/>
    <col min="2" max="2" width="29.375" style="30" bestFit="1" customWidth="1"/>
    <col min="3" max="3" width="18.375" style="30" bestFit="1" customWidth="1"/>
    <col min="4" max="4" width="31.625" style="30" bestFit="1" customWidth="1"/>
    <col min="5" max="5" width="19.5" style="30" bestFit="1" customWidth="1"/>
    <col min="6" max="6" width="12.875" style="30" bestFit="1" customWidth="1"/>
    <col min="7" max="16384" width="9" style="30"/>
  </cols>
  <sheetData>
    <row r="1" spans="1:6">
      <c r="A1" s="29" t="s">
        <v>145</v>
      </c>
      <c r="B1" s="53" t="s">
        <v>146</v>
      </c>
      <c r="C1" s="54"/>
      <c r="D1" s="29" t="s">
        <v>147</v>
      </c>
      <c r="E1" s="29" t="s">
        <v>148</v>
      </c>
      <c r="F1" s="29" t="s">
        <v>149</v>
      </c>
    </row>
    <row r="2" spans="1:6" ht="27">
      <c r="A2" s="31">
        <v>11</v>
      </c>
      <c r="B2" s="32" t="s">
        <v>196</v>
      </c>
      <c r="C2" s="32" t="s">
        <v>153</v>
      </c>
      <c r="D2" s="33" t="s">
        <v>154</v>
      </c>
      <c r="E2" s="33" t="s">
        <v>155</v>
      </c>
      <c r="F2" s="32"/>
    </row>
    <row r="3" spans="1:6" ht="27">
      <c r="A3" s="31">
        <v>12</v>
      </c>
      <c r="B3" s="32" t="s">
        <v>152</v>
      </c>
      <c r="C3" s="32" t="s">
        <v>153</v>
      </c>
      <c r="D3" s="33" t="s">
        <v>156</v>
      </c>
      <c r="E3" s="33" t="s">
        <v>155</v>
      </c>
      <c r="F3" s="32"/>
    </row>
    <row r="4" spans="1:6">
      <c r="A4" s="31">
        <v>16</v>
      </c>
      <c r="B4" s="32" t="s">
        <v>152</v>
      </c>
      <c r="C4" s="32" t="s">
        <v>153</v>
      </c>
      <c r="D4" s="33" t="s">
        <v>157</v>
      </c>
      <c r="E4" s="33" t="s">
        <v>158</v>
      </c>
      <c r="F4" s="32"/>
    </row>
    <row r="5" spans="1:6">
      <c r="A5" s="31">
        <v>17</v>
      </c>
      <c r="B5" s="32" t="s">
        <v>152</v>
      </c>
      <c r="C5" s="32" t="s">
        <v>153</v>
      </c>
      <c r="D5" s="33" t="s">
        <v>159</v>
      </c>
      <c r="E5" s="33" t="s">
        <v>158</v>
      </c>
      <c r="F5" s="32"/>
    </row>
    <row r="6" spans="1:6">
      <c r="A6" s="31">
        <v>19</v>
      </c>
      <c r="B6" s="32" t="s">
        <v>152</v>
      </c>
      <c r="C6" s="32" t="s">
        <v>153</v>
      </c>
      <c r="D6" s="33" t="s">
        <v>160</v>
      </c>
      <c r="E6" s="33" t="s">
        <v>161</v>
      </c>
      <c r="F6" s="32"/>
    </row>
    <row r="7" spans="1:6">
      <c r="A7" s="31">
        <v>22</v>
      </c>
      <c r="B7" s="32" t="s">
        <v>152</v>
      </c>
      <c r="C7" s="32" t="s">
        <v>153</v>
      </c>
      <c r="D7" s="33" t="s">
        <v>162</v>
      </c>
      <c r="E7" s="33" t="s">
        <v>163</v>
      </c>
      <c r="F7" s="32"/>
    </row>
    <row r="8" spans="1:6">
      <c r="A8" s="31">
        <v>23</v>
      </c>
      <c r="B8" s="32" t="s">
        <v>152</v>
      </c>
      <c r="C8" s="32" t="s">
        <v>153</v>
      </c>
      <c r="D8" s="33" t="s">
        <v>164</v>
      </c>
      <c r="E8" s="33" t="s">
        <v>161</v>
      </c>
      <c r="F8" s="32"/>
    </row>
    <row r="9" spans="1:6" ht="27">
      <c r="A9" s="31">
        <v>24</v>
      </c>
      <c r="B9" s="32" t="s">
        <v>152</v>
      </c>
      <c r="C9" s="32" t="s">
        <v>153</v>
      </c>
      <c r="D9" s="33" t="s">
        <v>165</v>
      </c>
      <c r="E9" s="33" t="s">
        <v>166</v>
      </c>
      <c r="F9" s="32"/>
    </row>
    <row r="10" spans="1:6">
      <c r="A10" s="31">
        <v>25</v>
      </c>
      <c r="B10" s="32" t="s">
        <v>152</v>
      </c>
      <c r="C10" s="32" t="s">
        <v>153</v>
      </c>
      <c r="D10" s="33" t="s">
        <v>167</v>
      </c>
      <c r="E10" s="33" t="s">
        <v>158</v>
      </c>
      <c r="F10" s="32"/>
    </row>
    <row r="11" spans="1:6">
      <c r="A11" s="31">
        <v>26</v>
      </c>
      <c r="B11" s="32" t="s">
        <v>152</v>
      </c>
      <c r="C11" s="32" t="s">
        <v>153</v>
      </c>
      <c r="D11" s="33" t="s">
        <v>168</v>
      </c>
      <c r="E11" s="33" t="s">
        <v>158</v>
      </c>
      <c r="F11" s="32"/>
    </row>
    <row r="12" spans="1:6" ht="27">
      <c r="A12" s="31">
        <v>27</v>
      </c>
      <c r="B12" s="32" t="s">
        <v>152</v>
      </c>
      <c r="C12" s="32" t="s">
        <v>153</v>
      </c>
      <c r="D12" s="33" t="s">
        <v>169</v>
      </c>
      <c r="E12" s="33" t="s">
        <v>170</v>
      </c>
      <c r="F12" s="32"/>
    </row>
    <row r="13" spans="1:6" ht="27">
      <c r="A13" s="31">
        <v>28</v>
      </c>
      <c r="B13" s="32" t="s">
        <v>152</v>
      </c>
      <c r="C13" s="32" t="s">
        <v>153</v>
      </c>
      <c r="D13" s="33" t="s">
        <v>171</v>
      </c>
      <c r="E13" s="33" t="s">
        <v>170</v>
      </c>
      <c r="F13" s="32"/>
    </row>
    <row r="14" spans="1:6" ht="27">
      <c r="A14" s="31">
        <v>29</v>
      </c>
      <c r="B14" s="32" t="s">
        <v>152</v>
      </c>
      <c r="C14" s="32" t="s">
        <v>153</v>
      </c>
      <c r="D14" s="33" t="s">
        <v>197</v>
      </c>
      <c r="E14" s="33" t="s">
        <v>170</v>
      </c>
      <c r="F14" s="32"/>
    </row>
    <row r="15" spans="1:6">
      <c r="A15" s="31">
        <v>31</v>
      </c>
      <c r="B15" s="32" t="s">
        <v>152</v>
      </c>
      <c r="C15" s="32" t="s">
        <v>172</v>
      </c>
      <c r="D15" s="33" t="s">
        <v>173</v>
      </c>
      <c r="E15" s="33" t="s">
        <v>158</v>
      </c>
      <c r="F15" s="32"/>
    </row>
    <row r="16" spans="1:6">
      <c r="A16" s="31">
        <v>33</v>
      </c>
      <c r="B16" s="32" t="s">
        <v>152</v>
      </c>
      <c r="C16" s="32" t="s">
        <v>172</v>
      </c>
      <c r="D16" s="33" t="s">
        <v>174</v>
      </c>
      <c r="E16" s="33" t="s">
        <v>158</v>
      </c>
      <c r="F16" s="32"/>
    </row>
    <row r="17" spans="1:6" ht="27">
      <c r="A17" s="31">
        <v>34</v>
      </c>
      <c r="B17" s="32" t="s">
        <v>152</v>
      </c>
      <c r="C17" s="32" t="s">
        <v>153</v>
      </c>
      <c r="D17" s="33" t="s">
        <v>175</v>
      </c>
      <c r="E17" s="33" t="s">
        <v>170</v>
      </c>
      <c r="F17" s="32"/>
    </row>
    <row r="18" spans="1:6" ht="27">
      <c r="A18" s="31">
        <v>35</v>
      </c>
      <c r="B18" s="32" t="s">
        <v>152</v>
      </c>
      <c r="C18" s="32" t="s">
        <v>153</v>
      </c>
      <c r="D18" s="34" t="s">
        <v>176</v>
      </c>
      <c r="E18" s="33" t="s">
        <v>170</v>
      </c>
      <c r="F18" s="32"/>
    </row>
    <row r="19" spans="1:6" ht="27">
      <c r="A19" s="31">
        <v>36</v>
      </c>
      <c r="B19" s="32" t="s">
        <v>152</v>
      </c>
      <c r="C19" s="32" t="s">
        <v>153</v>
      </c>
      <c r="D19" s="34" t="s">
        <v>177</v>
      </c>
      <c r="E19" s="33" t="s">
        <v>170</v>
      </c>
      <c r="F19" s="32"/>
    </row>
    <row r="20" spans="1:6" ht="27">
      <c r="A20" s="31">
        <v>37</v>
      </c>
      <c r="B20" s="32" t="s">
        <v>152</v>
      </c>
      <c r="C20" s="32" t="s">
        <v>153</v>
      </c>
      <c r="D20" s="32" t="s">
        <v>178</v>
      </c>
      <c r="E20" s="33" t="s">
        <v>170</v>
      </c>
      <c r="F20" s="32"/>
    </row>
    <row r="21" spans="1:6" ht="27">
      <c r="A21" s="31">
        <v>38</v>
      </c>
      <c r="B21" s="32" t="s">
        <v>152</v>
      </c>
      <c r="C21" s="32" t="s">
        <v>153</v>
      </c>
      <c r="D21" s="32" t="s">
        <v>179</v>
      </c>
      <c r="E21" s="33" t="s">
        <v>170</v>
      </c>
      <c r="F21" s="32"/>
    </row>
    <row r="22" spans="1:6">
      <c r="A22" s="31">
        <v>39</v>
      </c>
      <c r="B22" s="32" t="s">
        <v>152</v>
      </c>
      <c r="C22" s="32"/>
      <c r="D22" s="33" t="s">
        <v>43</v>
      </c>
      <c r="E22" s="33"/>
      <c r="F22" s="32"/>
    </row>
    <row r="23" spans="1:6">
      <c r="A23" s="31">
        <v>41</v>
      </c>
      <c r="B23" s="32" t="s">
        <v>180</v>
      </c>
      <c r="C23" s="32" t="s">
        <v>172</v>
      </c>
      <c r="D23" s="33" t="s">
        <v>181</v>
      </c>
      <c r="E23" s="33" t="s">
        <v>161</v>
      </c>
      <c r="F23" s="32"/>
    </row>
    <row r="24" spans="1:6" ht="27">
      <c r="A24" s="31">
        <v>45</v>
      </c>
      <c r="B24" s="32" t="s">
        <v>152</v>
      </c>
      <c r="C24" s="32" t="s">
        <v>153</v>
      </c>
      <c r="D24" s="33" t="s">
        <v>182</v>
      </c>
      <c r="E24" s="33" t="s">
        <v>158</v>
      </c>
      <c r="F24" s="32" t="s">
        <v>183</v>
      </c>
    </row>
    <row r="25" spans="1:6" ht="27">
      <c r="A25" s="31">
        <v>46</v>
      </c>
      <c r="B25" s="32" t="s">
        <v>152</v>
      </c>
      <c r="C25" s="32" t="s">
        <v>153</v>
      </c>
      <c r="D25" s="33" t="s">
        <v>184</v>
      </c>
      <c r="E25" s="33" t="s">
        <v>158</v>
      </c>
      <c r="F25" s="32" t="s">
        <v>183</v>
      </c>
    </row>
    <row r="26" spans="1:6">
      <c r="A26" s="31">
        <v>51</v>
      </c>
      <c r="B26" s="32" t="s">
        <v>185</v>
      </c>
      <c r="C26" s="32" t="s">
        <v>172</v>
      </c>
      <c r="D26" s="33" t="s">
        <v>186</v>
      </c>
      <c r="E26" s="33" t="s">
        <v>163</v>
      </c>
      <c r="F26" s="32"/>
    </row>
    <row r="27" spans="1:6">
      <c r="A27" s="31">
        <v>52</v>
      </c>
      <c r="B27" s="32" t="s">
        <v>185</v>
      </c>
      <c r="C27" s="32" t="s">
        <v>172</v>
      </c>
      <c r="D27" s="33" t="s">
        <v>187</v>
      </c>
      <c r="E27" s="33" t="s">
        <v>158</v>
      </c>
      <c r="F27" s="32"/>
    </row>
    <row r="28" spans="1:6">
      <c r="A28" s="31">
        <v>59</v>
      </c>
      <c r="B28" s="32" t="s">
        <v>202</v>
      </c>
      <c r="C28" s="32" t="s">
        <v>203</v>
      </c>
      <c r="D28" s="33" t="s">
        <v>204</v>
      </c>
      <c r="E28" s="33"/>
      <c r="F28" s="32"/>
    </row>
    <row r="29" spans="1:6" ht="27">
      <c r="A29" s="31">
        <v>70</v>
      </c>
      <c r="B29" s="32" t="s">
        <v>152</v>
      </c>
      <c r="C29" s="32" t="s">
        <v>153</v>
      </c>
      <c r="D29" s="33" t="s">
        <v>188</v>
      </c>
      <c r="E29" s="33" t="s">
        <v>166</v>
      </c>
      <c r="F29" s="35"/>
    </row>
    <row r="30" spans="1:6">
      <c r="A30" s="31">
        <v>71</v>
      </c>
      <c r="B30" s="32" t="s">
        <v>152</v>
      </c>
      <c r="C30" s="32" t="s">
        <v>153</v>
      </c>
      <c r="D30" s="33" t="s">
        <v>189</v>
      </c>
      <c r="E30" s="33" t="s">
        <v>158</v>
      </c>
      <c r="F30" s="35"/>
    </row>
    <row r="31" spans="1:6">
      <c r="A31" s="31">
        <v>72</v>
      </c>
      <c r="B31" s="32" t="s">
        <v>152</v>
      </c>
      <c r="C31" s="32" t="s">
        <v>153</v>
      </c>
      <c r="D31" s="36" t="s">
        <v>150</v>
      </c>
      <c r="E31" s="33" t="s">
        <v>158</v>
      </c>
      <c r="F31" s="35"/>
    </row>
    <row r="32" spans="1:6">
      <c r="A32" s="31">
        <v>99</v>
      </c>
      <c r="B32" s="32" t="s">
        <v>43</v>
      </c>
      <c r="C32" s="32"/>
      <c r="D32" s="33"/>
      <c r="E32" s="33"/>
      <c r="F32" s="32"/>
    </row>
  </sheetData>
  <sheetProtection sheet="1" objects="1" scenarios="1" formatCells="0" formatColumns="0"/>
  <mergeCells count="1">
    <mergeCell ref="B1:C1"/>
  </mergeCells>
  <phoneticPr fontId="1"/>
  <pageMargins left="0.70866141732283472" right="0.70866141732283472" top="0.74803149606299213" bottom="0.74803149606299213" header="0.31496062992125984" footer="0.31496062992125984"/>
  <pageSetup paperSize="9" scale="82" orientation="landscape" r:id="rId1"/>
  <headerFooter>
    <oddHeader>&amp;L&amp;A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_Setting"/>
  <dimension ref="A1:B1"/>
  <sheetViews>
    <sheetView workbookViewId="0"/>
  </sheetViews>
  <sheetFormatPr defaultRowHeight="18.75"/>
  <cols>
    <col min="1" max="1" width="29.375" bestFit="1" customWidth="1"/>
  </cols>
  <sheetData>
    <row r="1" spans="1:2">
      <c r="A1" t="s">
        <v>194</v>
      </c>
      <c r="B1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5</vt:i4>
      </vt:variant>
    </vt:vector>
  </HeadingPairs>
  <TitlesOfParts>
    <vt:vector size="19" baseType="lpstr">
      <vt:lpstr>Menu</vt:lpstr>
      <vt:lpstr>Format</vt:lpstr>
      <vt:lpstr>Hospital</vt:lpstr>
      <vt:lpstr>puldata_Format</vt:lpstr>
      <vt:lpstr>puldata_Bacterium</vt:lpstr>
      <vt:lpstr>Bacterium</vt:lpstr>
      <vt:lpstr>Antimicrobial</vt:lpstr>
      <vt:lpstr>puldata_Antimicrobial</vt:lpstr>
      <vt:lpstr>Department</vt:lpstr>
      <vt:lpstr>puldata_Department</vt:lpstr>
      <vt:lpstr>Specimen</vt:lpstr>
      <vt:lpstr>puldata_Speciem</vt:lpstr>
      <vt:lpstr>Susceptibility</vt:lpstr>
      <vt:lpstr>Setting</vt:lpstr>
      <vt:lpstr>Department</vt:lpstr>
      <vt:lpstr>Antimicrobial!Print_Area</vt:lpstr>
      <vt:lpstr>Format!Print_Area</vt:lpstr>
      <vt:lpstr>Susceptibility!Print_Area</vt:lpstr>
      <vt:lpstr>specimen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裕樹 小島</dc:creator>
  <cp:lastModifiedBy>niid</cp:lastModifiedBy>
  <dcterms:created xsi:type="dcterms:W3CDTF">2015-06-05T18:19:34Z</dcterms:created>
  <dcterms:modified xsi:type="dcterms:W3CDTF">2020-06-02T02:55:43Z</dcterms:modified>
</cp:coreProperties>
</file>